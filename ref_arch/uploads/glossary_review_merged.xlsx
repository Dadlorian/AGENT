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" sheetId="1" state="visible" r:id="rId3"/>
    <sheet name="Wide" sheetId="2" state="visible" r:id="rId4"/>
    <sheet name="Long" sheetId="3" state="visible" r:id="rId5"/>
    <sheet name="Summary" sheetId="4" state="visible" r:id="rId6"/>
    <sheet name="Flags" sheetId="5" state="visible" r:id="rId7"/>
  </sheets>
  <definedNames>
    <definedName function="false" hidden="true" localSheetId="2" name="_xlnm._FilterDatabase" vbProcedure="false">Long!$A$1:$I$274</definedName>
    <definedName function="false" hidden="true" localSheetId="1" name="_xlnm._FilterDatabase" vbProcedure="false">Wide!$A$1:$Z$92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<sst xmlns="http://schemas.openxmlformats.org/spreadsheetml/2006/main" count="3544" uniqueCount="451">
  <si>
    <t xml:space="preserve">Item</t>
  </si>
  <si>
    <t xml:space="preserve">Definition</t>
  </si>
  <si>
    <t xml:space="preserve">Reviewers</t>
  </si>
  <si>
    <t xml:space="preserve">ChatGPT; Opus 5; Gemini</t>
  </si>
  <si>
    <t xml:space="preserve">Join key</t>
  </si>
  <si>
    <t xml:space="preserve">Current term, exact string</t>
  </si>
  <si>
    <t xml:space="preserve">Row order</t>
  </si>
  <si>
    <t xml:space="preserve">Order shared by all three reviewers</t>
  </si>
  <si>
    <t xml:space="preserve">Source glossary</t>
  </si>
  <si>
    <t xml:space="preserve">Not supplied; order and spelling not verified against it</t>
  </si>
  <si>
    <t xml:space="preserve">Agree</t>
  </si>
  <si>
    <t xml:space="preserve">Count of reviewers sharing the most common value: 3, 2, or 1</t>
  </si>
  <si>
    <t xml:space="preserve">Outlier</t>
  </si>
  <si>
    <t xml:space="preserve">Reviewer who differs when Agree is 2; blank otherwise</t>
  </si>
  <si>
    <t xml:space="preserve">Term changes</t>
  </si>
  <si>
    <t xml:space="preserve">Count of reviewers whose Proposed term differs from Current term</t>
  </si>
  <si>
    <t xml:space="preserve">Match rule</t>
  </si>
  <si>
    <t xml:space="preserve">Exact, case-sensitive string match</t>
  </si>
  <si>
    <t xml:space="preserve">Evidence</t>
  </si>
  <si>
    <t xml:space="preserve">Shown per reviewer; not scored</t>
  </si>
  <si>
    <t xml:space="preserve">ChatGPT Evidence edit</t>
  </si>
  <si>
    <t xml:space="preserve">Citation markers removed; wording otherwise unchanged</t>
  </si>
  <si>
    <t xml:space="preserve">Alignment caveat</t>
  </si>
  <si>
    <t xml:space="preserve">On Rename rows, reviewers mix judging the current term and the proposed term</t>
  </si>
  <si>
    <t xml:space="preserve">Opus 5 note</t>
  </si>
  <si>
    <t xml:space="preserve">Merge built by Claude Opus 5; Opus 5 table given no tie-break weight</t>
  </si>
  <si>
    <t xml:space="preserve">Sheets</t>
  </si>
  <si>
    <t xml:space="preserve">Key; Wide; Long; Summary; Flags</t>
  </si>
  <si>
    <t xml:space="preserve">#</t>
  </si>
  <si>
    <t xml:space="preserve">Current term</t>
  </si>
  <si>
    <t xml:space="preserve">Proposed ChatGPT</t>
  </si>
  <si>
    <t xml:space="preserve">Proposed Opus 5</t>
  </si>
  <si>
    <t xml:space="preserve">Proposed Gemini</t>
  </si>
  <si>
    <t xml:space="preserve">Proposed agree</t>
  </si>
  <si>
    <t xml:space="preserve">Proposed outlier</t>
  </si>
  <si>
    <t xml:space="preserve">Action ChatGPT</t>
  </si>
  <si>
    <t xml:space="preserve">Action Opus 5</t>
  </si>
  <si>
    <t xml:space="preserve">Action Gemini</t>
  </si>
  <si>
    <t xml:space="preserve">Action agree</t>
  </si>
  <si>
    <t xml:space="preserve">Action outlier</t>
  </si>
  <si>
    <t xml:space="preserve">Authority ChatGPT</t>
  </si>
  <si>
    <t xml:space="preserve">Authority Opus 5</t>
  </si>
  <si>
    <t xml:space="preserve">Authority Gemini</t>
  </si>
  <si>
    <t xml:space="preserve">Authority agree</t>
  </si>
  <si>
    <t xml:space="preserve">Authority outlier</t>
  </si>
  <si>
    <t xml:space="preserve">Alignment ChatGPT</t>
  </si>
  <si>
    <t xml:space="preserve">Alignment Opus 5</t>
  </si>
  <si>
    <t xml:space="preserve">Alignment Gemini</t>
  </si>
  <si>
    <t xml:space="preserve">Alignment agree</t>
  </si>
  <si>
    <t xml:space="preserve">Alignment outlier</t>
  </si>
  <si>
    <t xml:space="preserve">Evidence ChatGPT</t>
  </si>
  <si>
    <t xml:space="preserve">Evidence Opus 5</t>
  </si>
  <si>
    <t xml:space="preserve">Evidence Gemini</t>
  </si>
  <si>
    <t xml:space="preserve">Organisation</t>
  </si>
  <si>
    <t xml:space="preserve">Tenant</t>
  </si>
  <si>
    <t xml:space="preserve">Organization</t>
  </si>
  <si>
    <t xml:space="preserve">Rename</t>
  </si>
  <si>
    <t xml:space="preserve">Reclassify</t>
  </si>
  <si>
    <t xml:space="preserve">Industry convention</t>
  </si>
  <si>
    <t xml:space="preserve">More precise</t>
  </si>
  <si>
    <t xml:space="preserve">Misclassified</t>
  </si>
  <si>
    <t xml:space="preserve">Industry-aligned</t>
  </si>
  <si>
    <t xml:space="preserve">CNCF Cloud Native Glossary: Multitenancy</t>
  </si>
  <si>
    <t xml:space="preserve">GitHub Organizations; Google Cloud resource hierarchy</t>
  </si>
  <si>
    <t xml:space="preserve">OIDC; OpenAPI; Auth0 API</t>
  </si>
  <si>
    <t xml:space="preserve">Project</t>
  </si>
  <si>
    <t xml:space="preserve">Mature convention</t>
  </si>
  <si>
    <t xml:space="preserve">Cloud/SaaS project convention</t>
  </si>
  <si>
    <t xml:space="preserve">Google Cloud; GitLab; Vercel</t>
  </si>
  <si>
    <t xml:space="preserve">Google Cloud Platform; Vercel</t>
  </si>
  <si>
    <t xml:space="preserve">Principal</t>
  </si>
  <si>
    <t xml:space="preserve">Keep</t>
  </si>
  <si>
    <t xml:space="preserve">Standard-derived</t>
  </si>
  <si>
    <t xml:space="preserve">Standard</t>
  </si>
  <si>
    <t xml:space="preserve">Standards-aligned</t>
  </si>
  <si>
    <t xml:space="preserve">Standards-native</t>
  </si>
  <si>
    <t xml:space="preserve">OIDC Core; RFC 8693</t>
  </si>
  <si>
    <t xml:space="preserve">RFC 4120; RFC 8693</t>
  </si>
  <si>
    <t xml:space="preserve">RFC 8693; OIDC Core 1.0</t>
  </si>
  <si>
    <t xml:space="preserve">Delegation chain</t>
  </si>
  <si>
    <t xml:space="preserve">Clarify</t>
  </si>
  <si>
    <t xml:space="preserve">Conflicts with standard</t>
  </si>
  <si>
    <t xml:space="preserve">RFC 8693 `act` claim</t>
  </si>
  <si>
    <t xml:space="preserve">RFC 8693</t>
  </si>
  <si>
    <t xml:space="preserve">RFC 8693 OAuth 2.0 Token Exchange</t>
  </si>
  <si>
    <t xml:space="preserve">Operator</t>
  </si>
  <si>
    <t xml:space="preserve">User</t>
  </si>
  <si>
    <t xml:space="preserve">Human Operator</t>
  </si>
  <si>
    <t xml:space="preserve">Internal</t>
  </si>
  <si>
    <t xml:space="preserve">Internal but clear</t>
  </si>
  <si>
    <t xml:space="preserve">Overloaded</t>
  </si>
  <si>
    <t xml:space="preserve">Internal semantics</t>
  </si>
  <si>
    <t xml:space="preserve">A2A; ACP</t>
  </si>
  <si>
    <t xml:space="preserve">Kubernetes Operator Pattern; RFC 7519</t>
  </si>
  <si>
    <t xml:space="preserve">Role</t>
  </si>
  <si>
    <t xml:space="preserve">ANSI/INCITS 359 RBAC; NIST RBAC</t>
  </si>
  <si>
    <t xml:space="preserve">ANSI INCITS 359</t>
  </si>
  <si>
    <t xml:space="preserve">NIST RBAC Model; ANSI/INCITS 359-2004</t>
  </si>
  <si>
    <t xml:space="preserve">Token exchange</t>
  </si>
  <si>
    <t xml:space="preserve">Workload identity</t>
  </si>
  <si>
    <t xml:space="preserve">SPIFFE ID; SVID; Workload API</t>
  </si>
  <si>
    <t xml:space="preserve">SPIFFE</t>
  </si>
  <si>
    <t xml:space="preserve">SPIFFE; SPIRE</t>
  </si>
  <si>
    <t xml:space="preserve">Secret handle</t>
  </si>
  <si>
    <t xml:space="preserve">Secret reference</t>
  </si>
  <si>
    <t xml:space="preserve">Vault/KMS secret-reference conventions</t>
  </si>
  <si>
    <t xml:space="preserve">Kubernetes secretKeyRef</t>
  </si>
  <si>
    <t xml:space="preserve">HashiCorp Vault; Kubernetes Secrets Spec</t>
  </si>
  <si>
    <t xml:space="preserve">Binding</t>
  </si>
  <si>
    <t xml:space="preserve">Integration binding</t>
  </si>
  <si>
    <t xml:space="preserve">Kubernetes RoleBinding; CloudEvents protocol bindings</t>
  </si>
  <si>
    <t xml:space="preserve">Conformance</t>
  </si>
  <si>
    <t xml:space="preserve">Binding verification</t>
  </si>
  <si>
    <t xml:space="preserve">Conformance suite</t>
  </si>
  <si>
    <t xml:space="preserve">Best practice</t>
  </si>
  <si>
    <t xml:space="preserve">Conformance/verification practice; internal activation semantics</t>
  </si>
  <si>
    <t xml:space="preserve">Kubernetes Conformance; OCI Distribution conformance</t>
  </si>
  <si>
    <t xml:space="preserve">ISO/IEC IEEE 24765; OpenAPI Conformance</t>
  </si>
  <si>
    <t xml:space="preserve">Client</t>
  </si>
  <si>
    <t xml:space="preserve">API client</t>
  </si>
  <si>
    <t xml:space="preserve">Ambiguous</t>
  </si>
  <si>
    <t xml:space="preserve">ACP Client</t>
  </si>
  <si>
    <t xml:space="preserve">RFC 6749; ACP</t>
  </si>
  <si>
    <t xml:space="preserve">ACP; RFC 6749</t>
  </si>
  <si>
    <t xml:space="preserve">Trigger</t>
  </si>
  <si>
    <t xml:space="preserve">Temporal; Argo Workflows</t>
  </si>
  <si>
    <t xml:space="preserve">Argo Events; GitHub Actions</t>
  </si>
  <si>
    <t xml:space="preserve">Recurrence rule</t>
  </si>
  <si>
    <t xml:space="preserve">RFC 5545 RRULE</t>
  </si>
  <si>
    <t xml:space="preserve">RFC 5545</t>
  </si>
  <si>
    <t xml:space="preserve">RFC 5545 iCalendar</t>
  </si>
  <si>
    <t xml:space="preserve">Event</t>
  </si>
  <si>
    <t xml:space="preserve">CloudEvents 1.0</t>
  </si>
  <si>
    <t xml:space="preserve">CloudEvents 1.0.2</t>
  </si>
  <si>
    <t xml:space="preserve">CloudEvents v1.0 Spec</t>
  </si>
  <si>
    <t xml:space="preserve">Agent-to-agent request</t>
  </si>
  <si>
    <t xml:space="preserve">A2A SendMessage; Task</t>
  </si>
  <si>
    <t xml:space="preserve">A2A</t>
  </si>
  <si>
    <t xml:space="preserve">A2A Protocol</t>
  </si>
  <si>
    <t xml:space="preserve">Idempotency key</t>
  </si>
  <si>
    <t xml:space="preserve">IETF Idempotency-Key draft; established API convention; current IETF draft expired</t>
  </si>
  <si>
    <t xml:space="preserve">draft-ietf-httpapi-idempotency-key-header; Stripe API</t>
  </si>
  <si>
    <t xml:space="preserve">IETF Idempotency-Key HTTP Header Draft; Stripe API</t>
  </si>
  <si>
    <t xml:space="preserve">Document</t>
  </si>
  <si>
    <t xml:space="preserve">Task specification</t>
  </si>
  <si>
    <t xml:space="preserve">Weak terminology</t>
  </si>
  <si>
    <t xml:space="preserve">Requirements/specification practice</t>
  </si>
  <si>
    <t xml:space="preserve">Kubernetes spec/status convention</t>
  </si>
  <si>
    <t xml:space="preserve">CNCF Serverless Workflow Spec; Temporal Workflows</t>
  </si>
  <si>
    <t xml:space="preserve">Intent</t>
  </si>
  <si>
    <t xml:space="preserve">Emerging practice</t>
  </si>
  <si>
    <t xml:space="preserve">Emerging alignment</t>
  </si>
  <si>
    <t xml:space="preserve">Intent-Based Systems Architecture</t>
  </si>
  <si>
    <t xml:space="preserve">Acceptance criteria</t>
  </si>
  <si>
    <t xml:space="preserve">ISO/IEC/IEEE 29148; Agile practice</t>
  </si>
  <si>
    <t xml:space="preserve">Scrum Guide 2020; Agile Alliance Glossary</t>
  </si>
  <si>
    <t xml:space="preserve">ISO/IEC/IEEE 29148</t>
  </si>
  <si>
    <t xml:space="preserve">Step</t>
  </si>
  <si>
    <t xml:space="preserve">Workflow-engine conventions</t>
  </si>
  <si>
    <t xml:space="preserve">GitHub Actions; Argo Workflows; Tekton</t>
  </si>
  <si>
    <t xml:space="preserve">CNCF Serverless Workflow; AWS Step Functions</t>
  </si>
  <si>
    <t xml:space="preserve">Stage</t>
  </si>
  <si>
    <t xml:space="preserve">Kanban-inspired internal semantics</t>
  </si>
  <si>
    <t xml:space="preserve">Kanban Method; GitLab CI stages</t>
  </si>
  <si>
    <t xml:space="preserve">Kanban Method; Lean Software Development</t>
  </si>
  <si>
    <t xml:space="preserve">Template</t>
  </si>
  <si>
    <t xml:space="preserve">Argo WorkflowTemplate; GitHub reusable workflows</t>
  </si>
  <si>
    <t xml:space="preserve">Argo WorkflowTemplate; GitHub Actions workflow templates</t>
  </si>
  <si>
    <t xml:space="preserve">GitHub Actions Workflow Templates; Temporal</t>
  </si>
  <si>
    <t xml:space="preserve">Planner</t>
  </si>
  <si>
    <t xml:space="preserve">Agent planning architectures</t>
  </si>
  <si>
    <t xml:space="preserve">Plan-and-execute agent pattern</t>
  </si>
  <si>
    <t xml:space="preserve">AI Agent Architecture Frameworks</t>
  </si>
  <si>
    <t xml:space="preserve">Plan</t>
  </si>
  <si>
    <t xml:space="preserve">ACP plan model; ACP plan-item evolution</t>
  </si>
  <si>
    <t xml:space="preserve">ACP session/update plan</t>
  </si>
  <si>
    <t xml:space="preserve">Cost</t>
  </si>
  <si>
    <t xml:space="preserve">Cost estimate</t>
  </si>
  <si>
    <t xml:space="preserve">FinOps Planning &amp; Estimating</t>
  </si>
  <si>
    <t xml:space="preserve">FinOps Framework</t>
  </si>
  <si>
    <t xml:space="preserve">FinOps FOCUS Spec; OpenTelemetry GenAI</t>
  </si>
  <si>
    <t xml:space="preserve">Ceiling</t>
  </si>
  <si>
    <t xml:space="preserve">Budget ceiling</t>
  </si>
  <si>
    <t xml:space="preserve">Budget limit</t>
  </si>
  <si>
    <t xml:space="preserve">FinOps budgeting; budget-control convention</t>
  </si>
  <si>
    <t xml:space="preserve">FinOps FOCUS Spec; LiteLLM</t>
  </si>
  <si>
    <t xml:space="preserve">Budget</t>
  </si>
  <si>
    <t xml:space="preserve">FinOps Budgeting</t>
  </si>
  <si>
    <t xml:space="preserve">Workload</t>
  </si>
  <si>
    <t xml:space="preserve">Workflow</t>
  </si>
  <si>
    <t xml:space="preserve">Temporal; Argo Workflows; GitHub Actions</t>
  </si>
  <si>
    <t xml:space="preserve">SPIFFE; GitHub Actions; Argo Workflows</t>
  </si>
  <si>
    <t xml:space="preserve">Kubernetes Workload APIs; OCI Spec</t>
  </si>
  <si>
    <t xml:space="preserve">Dispatch</t>
  </si>
  <si>
    <t xml:space="preserve">Scheduler/work-queue convention</t>
  </si>
  <si>
    <t xml:space="preserve">GitHub Actions workflow_dispatch</t>
  </si>
  <si>
    <t xml:space="preserve">Job Scheduler Architecture</t>
  </si>
  <si>
    <t xml:space="preserve">Hold / Release</t>
  </si>
  <si>
    <t xml:space="preserve">Pause / Resume</t>
  </si>
  <si>
    <t xml:space="preserve">Workflow-engine pause/resume convention</t>
  </si>
  <si>
    <t xml:space="preserve">Slurm scontrol; HTCondor</t>
  </si>
  <si>
    <t xml:space="preserve">W3C SCXML; AWS Step Functions</t>
  </si>
  <si>
    <t xml:space="preserve">Policy decision</t>
  </si>
  <si>
    <t xml:space="preserve">XACML PDP; OPA policy decisions</t>
  </si>
  <si>
    <t xml:space="preserve">XACML 3.0; OPA</t>
  </si>
  <si>
    <t xml:space="preserve">OPA; XACML; RFC 2904</t>
  </si>
  <si>
    <t xml:space="preserve">Command</t>
  </si>
  <si>
    <t xml:space="preserve">CQRS; GoF Command pattern</t>
  </si>
  <si>
    <t xml:space="preserve">CQRS Pattern; Command Pattern (GoF)</t>
  </si>
  <si>
    <t xml:space="preserve">Undo</t>
  </si>
  <si>
    <t xml:space="preserve">Compensate</t>
  </si>
  <si>
    <t xml:space="preserve">OASIS WS-BusinessActivity; Saga compensation</t>
  </si>
  <si>
    <t xml:space="preserve">Saga pattern</t>
  </si>
  <si>
    <t xml:space="preserve">Saga Pattern; Enterprise Integration Patterns</t>
  </si>
  <si>
    <t xml:space="preserve">Task</t>
  </si>
  <si>
    <t xml:space="preserve">A2A Task</t>
  </si>
  <si>
    <t xml:space="preserve">Session</t>
  </si>
  <si>
    <t xml:space="preserve">ACP Session</t>
  </si>
  <si>
    <t xml:space="preserve">ACP</t>
  </si>
  <si>
    <t xml:space="preserve">Agent Control Protocol (ACP)</t>
  </si>
  <si>
    <t xml:space="preserve">Agent harness</t>
  </si>
  <si>
    <t xml:space="preserve">ACP Agent; coding-agent harness convention</t>
  </si>
  <si>
    <t xml:space="preserve">Model class</t>
  </si>
  <si>
    <t xml:space="preserve">Model routing class</t>
  </si>
  <si>
    <t xml:space="preserve">OpenTelemetry GenAI model semantics; model-routing convention</t>
  </si>
  <si>
    <t xml:space="preserve">OpenTelemetry GenAI; LiteLLM</t>
  </si>
  <si>
    <t xml:space="preserve">LiteLLM; OpenTelemetry GenAI</t>
  </si>
  <si>
    <t xml:space="preserve">Tool</t>
  </si>
  <si>
    <t xml:space="preserve">MCP Tool</t>
  </si>
  <si>
    <t xml:space="preserve">MCP</t>
  </si>
  <si>
    <t xml:space="preserve">Model Context Protocol (MCP)</t>
  </si>
  <si>
    <t xml:space="preserve">Task state</t>
  </si>
  <si>
    <t xml:space="preserve">A2A TaskState</t>
  </si>
  <si>
    <t xml:space="preserve">A2A v0.3.0</t>
  </si>
  <si>
    <t xml:space="preserve">A2A Protocol Task State</t>
  </si>
  <si>
    <t xml:space="preserve">Substate</t>
  </si>
  <si>
    <t xml:space="preserve">A2A TaskState extension; internal semantics</t>
  </si>
  <si>
    <t xml:space="preserve">A2A extensions</t>
  </si>
  <si>
    <t xml:space="preserve">A2A Protocol Extension</t>
  </si>
  <si>
    <t xml:space="preserve">Problem</t>
  </si>
  <si>
    <t xml:space="preserve">Task problem</t>
  </si>
  <si>
    <t xml:space="preserve">RFC 9457 Problem Details; internal task extension</t>
  </si>
  <si>
    <t xml:space="preserve">RFC 9457</t>
  </si>
  <si>
    <t xml:space="preserve">RFC 9457 Problem Details</t>
  </si>
  <si>
    <t xml:space="preserve">Problem type</t>
  </si>
  <si>
    <t xml:space="preserve">RFC 9457 `type` URI; internal registry</t>
  </si>
  <si>
    <t xml:space="preserve">Nudge</t>
  </si>
  <si>
    <t xml:space="preserve">Re-prompt</t>
  </si>
  <si>
    <t xml:space="preserve">A2A SendMessage; prompting convention</t>
  </si>
  <si>
    <t xml:space="preserve">Redefine</t>
  </si>
  <si>
    <t xml:space="preserve">Escalate</t>
  </si>
  <si>
    <t xml:space="preserve">SRE/support escalation convention</t>
  </si>
  <si>
    <t xml:space="preserve">ITIL</t>
  </si>
  <si>
    <t xml:space="preserve">Extend</t>
  </si>
  <si>
    <t xml:space="preserve">Raise ceiling</t>
  </si>
  <si>
    <t xml:space="preserve">Internal budget semantics</t>
  </si>
  <si>
    <t xml:space="preserve">Restart</t>
  </si>
  <si>
    <t xml:space="preserve">Workflow/job runtime convention</t>
  </si>
  <si>
    <t xml:space="preserve">Kubernetes restartPolicy</t>
  </si>
  <si>
    <t xml:space="preserve">POSIX Execution Control; Kubernetes Lifecycle</t>
  </si>
  <si>
    <t xml:space="preserve">Rollback</t>
  </si>
  <si>
    <t xml:space="preserve">Version/workflow rollback convention</t>
  </si>
  <si>
    <t xml:space="preserve">Kubernetes rollout undo; Helm rollback</t>
  </si>
  <si>
    <t xml:space="preserve">Continuous Deployment Conventions</t>
  </si>
  <si>
    <t xml:space="preserve">Split</t>
  </si>
  <si>
    <t xml:space="preserve">Task-decomposition convention</t>
  </si>
  <si>
    <t xml:space="preserve">MapReduce; Task Parallelism</t>
  </si>
  <si>
    <t xml:space="preserve">Reassign</t>
  </si>
  <si>
    <t xml:space="preserve">Reroute</t>
  </si>
  <si>
    <t xml:space="preserve">Model-routing convention</t>
  </si>
  <si>
    <t xml:space="preserve">Skip</t>
  </si>
  <si>
    <t xml:space="preserve">Bypass dependency</t>
  </si>
  <si>
    <t xml:space="preserve">Bypass</t>
  </si>
  <si>
    <t xml:space="preserve">Workflow dependency convention</t>
  </si>
  <si>
    <t xml:space="preserve">GitHub Actions; Argo Workflows</t>
  </si>
  <si>
    <t xml:space="preserve">Workflow DAG Execution Controls</t>
  </si>
  <si>
    <t xml:space="preserve">Cancel</t>
  </si>
  <si>
    <t xml:space="preserve">A2A cancel; ACP `session/cancel`</t>
  </si>
  <si>
    <t xml:space="preserve">A2A Protocol; Agent Control Protocol (ACP)</t>
  </si>
  <si>
    <t xml:space="preserve">Approve / Reject / Return</t>
  </si>
  <si>
    <t xml:space="preserve">ACP permissions; A2A `input-required`</t>
  </si>
  <si>
    <t xml:space="preserve">A2A TaskState; ACP</t>
  </si>
  <si>
    <t xml:space="preserve">Agent Control Protocol (ACP); A2A Protocol</t>
  </si>
  <si>
    <t xml:space="preserve">Grant</t>
  </si>
  <si>
    <t xml:space="preserve">ACP permission allow; authorization convention</t>
  </si>
  <si>
    <t xml:space="preserve">Answer</t>
  </si>
  <si>
    <t xml:space="preserve">A2A Message; ACP elicitation</t>
  </si>
  <si>
    <t xml:space="preserve">Approval</t>
  </si>
  <si>
    <t xml:space="preserve">Approval request</t>
  </si>
  <si>
    <t xml:space="preserve">ACP `request_permission`; A2A interrupted states</t>
  </si>
  <si>
    <t xml:space="preserve">A2A Protocol; ACP</t>
  </si>
  <si>
    <t xml:space="preserve">Dependency</t>
  </si>
  <si>
    <t xml:space="preserve">Workflow DAG/task-dependency convention</t>
  </si>
  <si>
    <t xml:space="preserve">Argo Workflows DAG; GitHub Actions needs</t>
  </si>
  <si>
    <t xml:space="preserve">Directed Acyclic Graph (DAG) Execution Model</t>
  </si>
  <si>
    <t xml:space="preserve">Fleet</t>
  </si>
  <si>
    <t xml:space="preserve">Fleet-management convention</t>
  </si>
  <si>
    <t xml:space="preserve">Kubernetes multi-cluster fleet management</t>
  </si>
  <si>
    <t xml:space="preserve">AWS Fleet Management; Kubernetes Node Fleet</t>
  </si>
  <si>
    <t xml:space="preserve">Sandbox</t>
  </si>
  <si>
    <t xml:space="preserve">Coding-agent isolation convention; OCI runtime model</t>
  </si>
  <si>
    <t xml:space="preserve">Kubernetes CRI PodSandbox; kubernetes-sigs agent-sandbox</t>
  </si>
  <si>
    <t xml:space="preserve">OCI Container Spec; MCP</t>
  </si>
  <si>
    <t xml:space="preserve">Sandbox class</t>
  </si>
  <si>
    <t xml:space="preserve">RuntimeClass</t>
  </si>
  <si>
    <t xml:space="preserve">Kubernetes RuntimeClass</t>
  </si>
  <si>
    <t xml:space="preserve">Kubernetes RuntimeClass Spec (`k8s.io/api/node/v1`)</t>
  </si>
  <si>
    <t xml:space="preserve">Isolation technology</t>
  </si>
  <si>
    <t xml:space="preserve">Isolation mechanism</t>
  </si>
  <si>
    <t xml:space="preserve">OCI runtime; gVisor; Firecracker; Kata; WASM</t>
  </si>
  <si>
    <t xml:space="preserve">OCI Runtime Spec; gVisor; Firecracker</t>
  </si>
  <si>
    <t xml:space="preserve">OCI Runtime Spec</t>
  </si>
  <si>
    <t xml:space="preserve">Runtime</t>
  </si>
  <si>
    <t xml:space="preserve">Sandbox runtime</t>
  </si>
  <si>
    <t xml:space="preserve">OCI runtime</t>
  </si>
  <si>
    <t xml:space="preserve">OCI Runtime Specification</t>
  </si>
  <si>
    <t xml:space="preserve">Workspace</t>
  </si>
  <si>
    <t xml:space="preserve">ACP `cwd`; coding-agent workspace convention</t>
  </si>
  <si>
    <t xml:space="preserve">ACP; Tekton Workspaces</t>
  </si>
  <si>
    <t xml:space="preserve">Checkpoint</t>
  </si>
  <si>
    <t xml:space="preserve">Durable-execution/workflow convention</t>
  </si>
  <si>
    <t xml:space="preserve">CRIU; Apache Flink</t>
  </si>
  <si>
    <t xml:space="preserve">Durable Execution Frameworks (Temporal)</t>
  </si>
  <si>
    <t xml:space="preserve">Egress</t>
  </si>
  <si>
    <t xml:space="preserve">Network/security egress convention</t>
  </si>
  <si>
    <t xml:space="preserve">Kubernetes NetworkPolicy</t>
  </si>
  <si>
    <t xml:space="preserve">Cloud Networking Conventions; Kubernetes NetworkPolicy</t>
  </si>
  <si>
    <t xml:space="preserve">Evaluator</t>
  </si>
  <si>
    <t xml:space="preserve">OpenTelemetry GenAI evaluation; evaluator ecosystem</t>
  </si>
  <si>
    <t xml:space="preserve">OpenTelemetry GenAI</t>
  </si>
  <si>
    <t xml:space="preserve">OpenTelemetry GenAI Semantic Conventions</t>
  </si>
  <si>
    <t xml:space="preserve">Evaluation</t>
  </si>
  <si>
    <t xml:space="preserve">Evaluation result</t>
  </si>
  <si>
    <t xml:space="preserve">OpenTelemetry GenAI evaluation conventions</t>
  </si>
  <si>
    <t xml:space="preserve">Gate</t>
  </si>
  <si>
    <t xml:space="preserve">Human approval gate</t>
  </si>
  <si>
    <t xml:space="preserve">Approval gate</t>
  </si>
  <si>
    <t xml:space="preserve">ACP `request_permission`; human-in-the-loop convention</t>
  </si>
  <si>
    <t xml:space="preserve">GitHub Actions environments; Spinnaker Manual Judgment</t>
  </si>
  <si>
    <t xml:space="preserve">Artifact</t>
  </si>
  <si>
    <t xml:space="preserve">A2A Artifact</t>
  </si>
  <si>
    <t xml:space="preserve">A2A; SLSA</t>
  </si>
  <si>
    <t xml:space="preserve">A2A Protocol Artifacts; OCI Artifact Spec</t>
  </si>
  <si>
    <t xml:space="preserve">Attestation</t>
  </si>
  <si>
    <t xml:space="preserve">in-toto Attestation Framework; Statement; SLSA-compatible model</t>
  </si>
  <si>
    <t xml:space="preserve">in-toto Attestation Framework; SLSA</t>
  </si>
  <si>
    <t xml:space="preserve">in-toto Statement Spec; SLSA Provenance</t>
  </si>
  <si>
    <t xml:space="preserve">Completed</t>
  </si>
  <si>
    <t xml:space="preserve">A2A `TaskState.completed`</t>
  </si>
  <si>
    <t xml:space="preserve">Timeline entry</t>
  </si>
  <si>
    <t xml:space="preserve">Internal read-model semantics</t>
  </si>
  <si>
    <t xml:space="preserve">Trace / span</t>
  </si>
  <si>
    <t xml:space="preserve">Trace</t>
  </si>
  <si>
    <t xml:space="preserve">W3C Trace Context; OpenTelemetry</t>
  </si>
  <si>
    <t xml:space="preserve">OpenTelemetry; W3C Trace Context</t>
  </si>
  <si>
    <t xml:space="preserve">Ledger</t>
  </si>
  <si>
    <t xml:space="preserve">Audit log</t>
  </si>
  <si>
    <t xml:space="preserve">Internal audit-log semantics</t>
  </si>
  <si>
    <t xml:space="preserve">DMTF CADF (DSP0262); NIST SP 800-92</t>
  </si>
  <si>
    <t xml:space="preserve">Ledger record kind</t>
  </si>
  <si>
    <t xml:space="preserve">Audit log event type</t>
  </si>
  <si>
    <t xml:space="preserve">DMTF CADF (DSP0262)</t>
  </si>
  <si>
    <t xml:space="preserve">Stream</t>
  </si>
  <si>
    <t xml:space="preserve">Event stream</t>
  </si>
  <si>
    <t xml:space="preserve">WHATWG Server-Sent Events; CloudEvents</t>
  </si>
  <si>
    <t xml:space="preserve">WHATWG HTML Server-sent events</t>
  </si>
  <si>
    <t xml:space="preserve">WHATWG SSE Spec; CloudEvents Spec</t>
  </si>
  <si>
    <t xml:space="preserve">Alert</t>
  </si>
  <si>
    <t xml:space="preserve">Prometheus; Alertmanager explicitly separates alerts from notifications</t>
  </si>
  <si>
    <t xml:space="preserve">Prometheus Alertmanager; Google SRE Book</t>
  </si>
  <si>
    <t xml:space="preserve">SRE Incident Management Conventions</t>
  </si>
  <si>
    <t xml:space="preserve">Lineage</t>
  </si>
  <si>
    <t xml:space="preserve">OpenLineage specification</t>
  </si>
  <si>
    <t xml:space="preserve">OpenLineage</t>
  </si>
  <si>
    <t xml:space="preserve">OpenLineage Specification</t>
  </si>
  <si>
    <t xml:space="preserve">Playbook</t>
  </si>
  <si>
    <t xml:space="preserve">Recovery playbook</t>
  </si>
  <si>
    <t xml:space="preserve">SRE runbook; SOAR playbook convention</t>
  </si>
  <si>
    <t xml:space="preserve">Google SRE Book</t>
  </si>
  <si>
    <t xml:space="preserve">SRE Runbook Practices; ANSI/ISA-18.2</t>
  </si>
  <si>
    <t xml:space="preserve">Playbook actor</t>
  </si>
  <si>
    <t xml:space="preserve">Fix outcome</t>
  </si>
  <si>
    <t xml:space="preserve">Remediation outcome</t>
  </si>
  <si>
    <t xml:space="preserve">NIST remediation terminology</t>
  </si>
  <si>
    <t xml:space="preserve">Recommendation</t>
  </si>
  <si>
    <t xml:space="preserve">Analytics/continuous-improvement convention</t>
  </si>
  <si>
    <t xml:space="preserve">Cloud Optimization &amp; Analytics Conventions</t>
  </si>
  <si>
    <t xml:space="preserve">Promote</t>
  </si>
  <si>
    <t xml:space="preserve">CI/CD promotion convention</t>
  </si>
  <si>
    <t xml:space="preserve">Argo Rollouts; Spinnaker</t>
  </si>
  <si>
    <t xml:space="preserve">Continuous Delivery Conventions</t>
  </si>
  <si>
    <t xml:space="preserve">Problem details</t>
  </si>
  <si>
    <t xml:space="preserve">Pagination</t>
  </si>
  <si>
    <t xml:space="preserve">Cursor pagination</t>
  </si>
  <si>
    <t xml:space="preserve">Mature API cursor-pagination convention</t>
  </si>
  <si>
    <t xml:space="preserve">Google AIP-158; GitHub REST API</t>
  </si>
  <si>
    <t xml:space="preserve">Stripe API; GitHub REST API</t>
  </si>
  <si>
    <t xml:space="preserve">Rate limit headers</t>
  </si>
  <si>
    <t xml:space="preserve">RateLimit fields</t>
  </si>
  <si>
    <t xml:space="preserve">IETF `draft-ietf-httpapi-ratelimit-headers-11`; current draft uses `RateLimit` and `RateLimit-Policy` rather than the older three-field design</t>
  </si>
  <si>
    <t xml:space="preserve">draft-ietf-httpapi-ratelimit-headers-11</t>
  </si>
  <si>
    <t xml:space="preserve">IETF RateLimit Header Fields Draft</t>
  </si>
  <si>
    <t xml:space="preserve">Deprecation</t>
  </si>
  <si>
    <t xml:space="preserve">RFC 9745 Deprecation; RFC 8594 Sunset</t>
  </si>
  <si>
    <t xml:space="preserve">RFC 9745; RFC 8594</t>
  </si>
  <si>
    <t xml:space="preserve">RFC 8594 Sunset Header Field</t>
  </si>
  <si>
    <t xml:space="preserve">Schema</t>
  </si>
  <si>
    <t xml:space="preserve">OpenAPI 3.1; JSON Schema 2020-12</t>
  </si>
  <si>
    <t xml:space="preserve">Timestamp</t>
  </si>
  <si>
    <t xml:space="preserve">RFC 3339 permits UTC offsets; UTC-only is an internal profile</t>
  </si>
  <si>
    <t xml:space="preserve">RFC 3339</t>
  </si>
  <si>
    <t xml:space="preserve">Money</t>
  </si>
  <si>
    <t xml:space="preserve">ISO 4217 supports USD currency semantics; decimal-string representation remains internal</t>
  </si>
  <si>
    <t xml:space="preserve">ISO 4217</t>
  </si>
  <si>
    <t xml:space="preserve">Reviewer</t>
  </si>
  <si>
    <t xml:space="preserve">Proposed term</t>
  </si>
  <si>
    <t xml:space="preserve">Action</t>
  </si>
  <si>
    <t xml:space="preserve">Authority</t>
  </si>
  <si>
    <t xml:space="preserve">Alignment</t>
  </si>
  <si>
    <t xml:space="preserve">Term changed</t>
  </si>
  <si>
    <t xml:space="preserve">ChatGPT</t>
  </si>
  <si>
    <t xml:space="preserve">Opus 5</t>
  </si>
  <si>
    <t xml:space="preserve">Gemini</t>
  </si>
  <si>
    <t xml:space="preserve">Action count by reviewer</t>
  </si>
  <si>
    <t xml:space="preserve">Value</t>
  </si>
  <si>
    <t xml:space="preserve">Deprecate</t>
  </si>
  <si>
    <t xml:space="preserve">Authority count by reviewer</t>
  </si>
  <si>
    <t xml:space="preserve">Term changed count by reviewer</t>
  </si>
  <si>
    <t xml:space="preserve">Yes</t>
  </si>
  <si>
    <t xml:space="preserve">No</t>
  </si>
  <si>
    <t xml:space="preserve">Agreement distribution across 91 terms</t>
  </si>
  <si>
    <t xml:space="preserve">Field</t>
  </si>
  <si>
    <t xml:space="preserve">3 agree</t>
  </si>
  <si>
    <t xml:space="preserve">2 agree</t>
  </si>
  <si>
    <t xml:space="preserve">1 each</t>
  </si>
  <si>
    <t xml:space="preserve">Proposed</t>
  </si>
  <si>
    <t xml:space="preserve">Outlier count when 2 agree</t>
  </si>
  <si>
    <t xml:space="preserve">Issue</t>
  </si>
  <si>
    <t xml:space="preserve">All</t>
  </si>
  <si>
    <t xml:space="preserve">Format</t>
  </si>
  <si>
    <t xml:space="preserve">Link reference list after table; dropped at merge</t>
  </si>
  <si>
    <t xml:space="preserve">Citation markers inside cells; removed at merge</t>
  </si>
  <si>
    <t xml:space="preserve">Prose in cell; kept as written</t>
  </si>
  <si>
    <t xml:space="preserve">Rename paired with Misclassified, which the prompt ties to Reclassify</t>
  </si>
  <si>
    <t xml:space="preserve">Rename paired with Standards-native</t>
  </si>
  <si>
    <t xml:space="preserve">Standard-derived for an A2A-defined term; Tool and Session rated Standard</t>
  </si>
  <si>
    <t xml:space="preserve">Standard, but Evidence names an IETF draft</t>
  </si>
  <si>
    <t xml:space="preserve">Standard-derived paired with Industry-aligned</t>
  </si>
  <si>
    <t xml:space="preserve">Cites RFC 8594, which defines Sunset; Deprecation header is RFC 9745</t>
  </si>
  <si>
    <t xml:space="preserve">ACP expanded as Agent Control Protocol; ChatGPT source is Agent Client Protocol</t>
  </si>
  <si>
    <t xml:space="preserve">Rename rows mix current-term and proposed-term judgments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</si>
</sst>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  <row r="11" customFormat="false" ht="15" hidden="false" customHeight="false" outlineLevel="0" collapsed="false">
      <c r="A11" s="2" t="s">
        <v>20</v>
      </c>
      <c r="B11" s="2" t="s">
        <v>21</v>
      </c>
    </row>
    <row r="12" customFormat="false" ht="15" hidden="false" customHeight="false" outlineLevel="0" collapsed="false">
      <c r="A12" s="2" t="s">
        <v>22</v>
      </c>
      <c r="B12" s="2" t="s">
        <v>23</v>
      </c>
    </row>
    <row r="13" customFormat="false" ht="15" hidden="false" customHeight="false" outlineLevel="0" collapsed="false">
      <c r="A13" s="2" t="s">
        <v>24</v>
      </c>
      <c r="B13" s="2" t="s">
        <v>25</v>
      </c>
    </row>
    <row r="14" customFormat="false" ht="15" hidden="false" customHeight="false" outlineLevel="0" collapsed="false">
      <c r="A14" s="2" t="s">
        <v>26</v>
      </c>
      <c r="B14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3" min="2" style="0" width="20"/>
    <col collapsed="false" customWidth="true" hidden="false" outlineLevel="0" max="26" min="24" style="0" width="40"/>
  </cols>
  <sheetData>
    <row r="1" customFormat="false" ht="26.85" hidden="false" customHeight="false" outlineLevel="0" collapsed="false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14</v>
      </c>
      <c r="X1" s="3" t="s">
        <v>50</v>
      </c>
      <c r="Y1" s="3" t="s">
        <v>51</v>
      </c>
      <c r="Z1" s="3" t="s">
        <v>52</v>
      </c>
    </row>
    <row r="2" customFormat="false" ht="15" hidden="false" customHeight="false" outlineLevel="0" collapsed="false">
      <c r="A2" s="2" t="n">
        <v>1</v>
      </c>
      <c r="B2" s="2" t="s">
        <v>53</v>
      </c>
      <c r="C2" s="2" t="s">
        <v>54</v>
      </c>
      <c r="D2" s="2" t="s">
        <v>55</v>
      </c>
      <c r="E2" s="2" t="s">
        <v>53</v>
      </c>
      <c r="F2" s="2" t="n">
        <f aca="false">IF(AND(EXACT(C2,D2),EXACT(D2,E2)),3,IF(OR(EXACT(C2,D2),EXACT(C2,E2),EXACT(D2,E2)),2,1))</f>
        <v>1</v>
      </c>
      <c r="G2" s="2" t="str">
        <f aca="false">IF(F2=2,IF(EXACT(D2,E2),"ChatGPT",IF(EXACT(C2,E2),"Opus 5","Gemini")),"")</f>
        <v/>
      </c>
      <c r="H2" s="2" t="s">
        <v>56</v>
      </c>
      <c r="I2" s="2" t="s">
        <v>56</v>
      </c>
      <c r="J2" s="2" t="s">
        <v>57</v>
      </c>
      <c r="K2" s="2" t="n">
        <f aca="false">IF(AND(EXACT(H2,I2),EXACT(I2,J2)),3,IF(OR(EXACT(H2,I2),EXACT(H2,J2),EXACT(I2,J2)),2,1))</f>
        <v>2</v>
      </c>
      <c r="L2" s="2" t="str">
        <f aca="false">IF(K2=2,IF(EXACT(I2,J2),"ChatGPT",IF(EXACT(H2,J2),"Opus 5","Gemini")),"")</f>
        <v>Gemini</v>
      </c>
      <c r="M2" s="2" t="s">
        <v>58</v>
      </c>
      <c r="N2" s="2" t="s">
        <v>58</v>
      </c>
      <c r="O2" s="2" t="s">
        <v>58</v>
      </c>
      <c r="P2" s="2" t="n">
        <f aca="false">IF(AND(EXACT(M2,N2),EXACT(N2,O2)),3,IF(OR(EXACT(M2,N2),EXACT(M2,O2),EXACT(N2,O2)),2,1))</f>
        <v>3</v>
      </c>
      <c r="Q2" s="2" t="str">
        <f aca="false">IF(P2=2,IF(EXACT(N2,O2),"ChatGPT",IF(EXACT(M2,O2),"Opus 5","Gemini")),"")</f>
        <v/>
      </c>
      <c r="R2" s="2" t="s">
        <v>59</v>
      </c>
      <c r="S2" s="2" t="s">
        <v>60</v>
      </c>
      <c r="T2" s="2" t="s">
        <v>61</v>
      </c>
      <c r="U2" s="2" t="n">
        <f aca="false">IF(AND(EXACT(R2,S2),EXACT(S2,T2)),3,IF(OR(EXACT(R2,S2),EXACT(R2,T2),EXACT(S2,T2)),2,1))</f>
        <v>1</v>
      </c>
      <c r="V2" s="2" t="str">
        <f aca="false">IF(U2=2,IF(EXACT(S2,T2),"ChatGPT",IF(EXACT(R2,T2),"Opus 5","Gemini")),"")</f>
        <v/>
      </c>
      <c r="W2" s="2" t="n">
        <f aca="false">3-EXACT(B2,C2)-EXACT(B2,D2)-EXACT(B2,E2)</f>
        <v>2</v>
      </c>
      <c r="X2" s="2" t="s">
        <v>62</v>
      </c>
      <c r="Y2" s="2" t="s">
        <v>63</v>
      </c>
      <c r="Z2" s="2" t="s">
        <v>64</v>
      </c>
    </row>
    <row r="3" customFormat="false" ht="15" hidden="false" customHeight="false" outlineLevel="0" collapsed="false">
      <c r="A3" s="2" t="n">
        <v>2</v>
      </c>
      <c r="B3" s="2" t="s">
        <v>65</v>
      </c>
      <c r="C3" s="2" t="s">
        <v>65</v>
      </c>
      <c r="D3" s="2" t="s">
        <v>65</v>
      </c>
      <c r="E3" s="2" t="s">
        <v>65</v>
      </c>
      <c r="F3" s="2" t="n">
        <f aca="false">IF(AND(EXACT(C3,D3),EXACT(D3,E3)),3,IF(OR(EXACT(C3,D3),EXACT(C3,E3),EXACT(D3,E3)),2,1))</f>
        <v>3</v>
      </c>
      <c r="G3" s="2" t="str">
        <f aca="false">IF(F3=2,IF(EXACT(D3,E3),"ChatGPT",IF(EXACT(C3,E3),"Opus 5","Gemini")),"")</f>
        <v/>
      </c>
      <c r="H3" s="2" t="s">
        <v>57</v>
      </c>
      <c r="I3" s="2" t="s">
        <v>57</v>
      </c>
      <c r="J3" s="2" t="s">
        <v>57</v>
      </c>
      <c r="K3" s="2" t="n">
        <f aca="false">IF(AND(EXACT(H3,I3),EXACT(I3,J3)),3,IF(OR(EXACT(H3,I3),EXACT(H3,J3),EXACT(I3,J3)),2,1))</f>
        <v>3</v>
      </c>
      <c r="L3" s="2" t="str">
        <f aca="false">IF(K3=2,IF(EXACT(I3,J3),"ChatGPT",IF(EXACT(H3,J3),"Opus 5","Gemini")),"")</f>
        <v/>
      </c>
      <c r="M3" s="2" t="s">
        <v>58</v>
      </c>
      <c r="N3" s="2" t="s">
        <v>58</v>
      </c>
      <c r="O3" s="2" t="s">
        <v>58</v>
      </c>
      <c r="P3" s="2" t="n">
        <f aca="false">IF(AND(EXACT(M3,N3),EXACT(N3,O3)),3,IF(OR(EXACT(M3,N3),EXACT(M3,O3),EXACT(N3,O3)),2,1))</f>
        <v>3</v>
      </c>
      <c r="Q3" s="2" t="str">
        <f aca="false">IF(P3=2,IF(EXACT(N3,O3),"ChatGPT",IF(EXACT(M3,O3),"Opus 5","Gemini")),"")</f>
        <v/>
      </c>
      <c r="R3" s="2" t="s">
        <v>61</v>
      </c>
      <c r="S3" s="2" t="s">
        <v>66</v>
      </c>
      <c r="T3" s="2" t="s">
        <v>61</v>
      </c>
      <c r="U3" s="2" t="n">
        <f aca="false">IF(AND(EXACT(R3,S3),EXACT(S3,T3)),3,IF(OR(EXACT(R3,S3),EXACT(R3,T3),EXACT(S3,T3)),2,1))</f>
        <v>2</v>
      </c>
      <c r="V3" s="2" t="str">
        <f aca="false">IF(U3=2,IF(EXACT(S3,T3),"ChatGPT",IF(EXACT(R3,T3),"Opus 5","Gemini")),"")</f>
        <v>Opus 5</v>
      </c>
      <c r="W3" s="2" t="n">
        <f aca="false">3-EXACT(B3,C3)-EXACT(B3,D3)-EXACT(B3,E3)</f>
        <v>0</v>
      </c>
      <c r="X3" s="2" t="s">
        <v>67</v>
      </c>
      <c r="Y3" s="2" t="s">
        <v>68</v>
      </c>
      <c r="Z3" s="2" t="s">
        <v>69</v>
      </c>
    </row>
    <row r="4" customFormat="false" ht="15" hidden="false" customHeight="false" outlineLevel="0" collapsed="false">
      <c r="A4" s="2" t="n">
        <v>3</v>
      </c>
      <c r="B4" s="2" t="s">
        <v>70</v>
      </c>
      <c r="C4" s="2" t="s">
        <v>70</v>
      </c>
      <c r="D4" s="2" t="s">
        <v>70</v>
      </c>
      <c r="E4" s="2" t="s">
        <v>70</v>
      </c>
      <c r="F4" s="2" t="n">
        <f aca="false">IF(AND(EXACT(C4,D4),EXACT(D4,E4)),3,IF(OR(EXACT(C4,D4),EXACT(C4,E4),EXACT(D4,E4)),2,1))</f>
        <v>3</v>
      </c>
      <c r="G4" s="2" t="str">
        <f aca="false">IF(F4=2,IF(EXACT(D4,E4),"ChatGPT",IF(EXACT(C4,E4),"Opus 5","Gemini")),"")</f>
        <v/>
      </c>
      <c r="H4" s="2" t="s">
        <v>57</v>
      </c>
      <c r="I4" s="2" t="s">
        <v>57</v>
      </c>
      <c r="J4" s="2" t="s">
        <v>71</v>
      </c>
      <c r="K4" s="2" t="n">
        <f aca="false">IF(AND(EXACT(H4,I4),EXACT(I4,J4)),3,IF(OR(EXACT(H4,I4),EXACT(H4,J4),EXACT(I4,J4)),2,1))</f>
        <v>2</v>
      </c>
      <c r="L4" s="2" t="str">
        <f aca="false">IF(K4=2,IF(EXACT(I4,J4),"ChatGPT",IF(EXACT(H4,J4),"Opus 5","Gemini")),"")</f>
        <v>Gemini</v>
      </c>
      <c r="M4" s="2" t="s">
        <v>72</v>
      </c>
      <c r="N4" s="2" t="s">
        <v>72</v>
      </c>
      <c r="O4" s="2" t="s">
        <v>73</v>
      </c>
      <c r="P4" s="2" t="n">
        <f aca="false">IF(AND(EXACT(M4,N4),EXACT(N4,O4)),3,IF(OR(EXACT(M4,N4),EXACT(M4,O4),EXACT(N4,O4)),2,1))</f>
        <v>2</v>
      </c>
      <c r="Q4" s="2" t="str">
        <f aca="false">IF(P4=2,IF(EXACT(N4,O4),"ChatGPT",IF(EXACT(M4,O4),"Opus 5","Gemini")),"")</f>
        <v>Gemini</v>
      </c>
      <c r="R4" s="2" t="s">
        <v>74</v>
      </c>
      <c r="S4" s="2" t="s">
        <v>60</v>
      </c>
      <c r="T4" s="2" t="s">
        <v>75</v>
      </c>
      <c r="U4" s="2" t="n">
        <f aca="false">IF(AND(EXACT(R4,S4),EXACT(S4,T4)),3,IF(OR(EXACT(R4,S4),EXACT(R4,T4),EXACT(S4,T4)),2,1))</f>
        <v>1</v>
      </c>
      <c r="V4" s="2" t="str">
        <f aca="false">IF(U4=2,IF(EXACT(S4,T4),"ChatGPT",IF(EXACT(R4,T4),"Opus 5","Gemini")),"")</f>
        <v/>
      </c>
      <c r="W4" s="2" t="n">
        <f aca="false">3-EXACT(B4,C4)-EXACT(B4,D4)-EXACT(B4,E4)</f>
        <v>0</v>
      </c>
      <c r="X4" s="2" t="s">
        <v>76</v>
      </c>
      <c r="Y4" s="2" t="s">
        <v>77</v>
      </c>
      <c r="Z4" s="2" t="s">
        <v>78</v>
      </c>
    </row>
    <row r="5" customFormat="false" ht="15" hidden="false" customHeight="false" outlineLevel="0" collapsed="false">
      <c r="A5" s="2" t="n">
        <v>4</v>
      </c>
      <c r="B5" s="2" t="s">
        <v>79</v>
      </c>
      <c r="C5" s="2" t="s">
        <v>79</v>
      </c>
      <c r="D5" s="2" t="s">
        <v>79</v>
      </c>
      <c r="E5" s="2" t="s">
        <v>79</v>
      </c>
      <c r="F5" s="2" t="n">
        <f aca="false">IF(AND(EXACT(C5,D5),EXACT(D5,E5)),3,IF(OR(EXACT(C5,D5),EXACT(C5,E5),EXACT(D5,E5)),2,1))</f>
        <v>3</v>
      </c>
      <c r="G5" s="2" t="str">
        <f aca="false">IF(F5=2,IF(EXACT(D5,E5),"ChatGPT",IF(EXACT(C5,E5),"Opus 5","Gemini")),"")</f>
        <v/>
      </c>
      <c r="H5" s="2" t="s">
        <v>57</v>
      </c>
      <c r="I5" s="2" t="s">
        <v>80</v>
      </c>
      <c r="J5" s="2" t="s">
        <v>71</v>
      </c>
      <c r="K5" s="2" t="n">
        <f aca="false">IF(AND(EXACT(H5,I5),EXACT(I5,J5)),3,IF(OR(EXACT(H5,I5),EXACT(H5,J5),EXACT(I5,J5)),2,1))</f>
        <v>1</v>
      </c>
      <c r="L5" s="2" t="str">
        <f aca="false">IF(K5=2,IF(EXACT(I5,J5),"ChatGPT",IF(EXACT(H5,J5),"Opus 5","Gemini")),"")</f>
        <v/>
      </c>
      <c r="M5" s="2" t="s">
        <v>72</v>
      </c>
      <c r="N5" s="2" t="s">
        <v>72</v>
      </c>
      <c r="O5" s="2" t="s">
        <v>73</v>
      </c>
      <c r="P5" s="2" t="n">
        <f aca="false">IF(AND(EXACT(M5,N5),EXACT(N5,O5)),3,IF(OR(EXACT(M5,N5),EXACT(M5,O5),EXACT(N5,O5)),2,1))</f>
        <v>2</v>
      </c>
      <c r="Q5" s="2" t="str">
        <f aca="false">IF(P5=2,IF(EXACT(N5,O5),"ChatGPT",IF(EXACT(M5,O5),"Opus 5","Gemini")),"")</f>
        <v>Gemini</v>
      </c>
      <c r="R5" s="2" t="s">
        <v>74</v>
      </c>
      <c r="S5" s="2" t="s">
        <v>81</v>
      </c>
      <c r="T5" s="2" t="s">
        <v>75</v>
      </c>
      <c r="U5" s="2" t="n">
        <f aca="false">IF(AND(EXACT(R5,S5),EXACT(S5,T5)),3,IF(OR(EXACT(R5,S5),EXACT(R5,T5),EXACT(S5,T5)),2,1))</f>
        <v>1</v>
      </c>
      <c r="V5" s="2" t="str">
        <f aca="false">IF(U5=2,IF(EXACT(S5,T5),"ChatGPT",IF(EXACT(R5,T5),"Opus 5","Gemini")),"")</f>
        <v/>
      </c>
      <c r="W5" s="2" t="n">
        <f aca="false">3-EXACT(B5,C5)-EXACT(B5,D5)-EXACT(B5,E5)</f>
        <v>0</v>
      </c>
      <c r="X5" s="2" t="s">
        <v>82</v>
      </c>
      <c r="Y5" s="2" t="s">
        <v>83</v>
      </c>
      <c r="Z5" s="2" t="s">
        <v>84</v>
      </c>
    </row>
    <row r="6" customFormat="false" ht="15" hidden="false" customHeight="false" outlineLevel="0" collapsed="false">
      <c r="A6" s="2" t="n">
        <v>5</v>
      </c>
      <c r="B6" s="2" t="s">
        <v>85</v>
      </c>
      <c r="C6" s="2" t="s">
        <v>85</v>
      </c>
      <c r="D6" s="2" t="s">
        <v>86</v>
      </c>
      <c r="E6" s="2" t="s">
        <v>87</v>
      </c>
      <c r="F6" s="2" t="n">
        <f aca="false">IF(AND(EXACT(C6,D6),EXACT(D6,E6)),3,IF(OR(EXACT(C6,D6),EXACT(C6,E6),EXACT(D6,E6)),2,1))</f>
        <v>1</v>
      </c>
      <c r="G6" s="2" t="str">
        <f aca="false">IF(F6=2,IF(EXACT(D6,E6),"ChatGPT",IF(EXACT(C6,E6),"Opus 5","Gemini")),"")</f>
        <v/>
      </c>
      <c r="H6" s="2" t="s">
        <v>71</v>
      </c>
      <c r="I6" s="2" t="s">
        <v>56</v>
      </c>
      <c r="J6" s="2" t="s">
        <v>56</v>
      </c>
      <c r="K6" s="2" t="n">
        <f aca="false">IF(AND(EXACT(H6,I6),EXACT(I6,J6)),3,IF(OR(EXACT(H6,I6),EXACT(H6,J6),EXACT(I6,J6)),2,1))</f>
        <v>2</v>
      </c>
      <c r="L6" s="2" t="str">
        <f aca="false">IF(K6=2,IF(EXACT(I6,J6),"ChatGPT",IF(EXACT(H6,J6),"Opus 5","Gemini")),"")</f>
        <v>ChatGPT</v>
      </c>
      <c r="M6" s="2" t="s">
        <v>88</v>
      </c>
      <c r="N6" s="2" t="s">
        <v>58</v>
      </c>
      <c r="O6" s="2" t="s">
        <v>58</v>
      </c>
      <c r="P6" s="2" t="n">
        <f aca="false">IF(AND(EXACT(M6,N6),EXACT(N6,O6)),3,IF(OR(EXACT(M6,N6),EXACT(M6,O6),EXACT(N6,O6)),2,1))</f>
        <v>2</v>
      </c>
      <c r="Q6" s="2" t="str">
        <f aca="false">IF(P6=2,IF(EXACT(N6,O6),"ChatGPT",IF(EXACT(M6,O6),"Opus 5","Gemini")),"")</f>
        <v>ChatGPT</v>
      </c>
      <c r="R6" s="2" t="s">
        <v>89</v>
      </c>
      <c r="S6" s="2" t="s">
        <v>90</v>
      </c>
      <c r="T6" s="2" t="s">
        <v>90</v>
      </c>
      <c r="U6" s="2" t="n">
        <f aca="false">IF(AND(EXACT(R6,S6),EXACT(S6,T6)),3,IF(OR(EXACT(R6,S6),EXACT(R6,T6),EXACT(S6,T6)),2,1))</f>
        <v>2</v>
      </c>
      <c r="V6" s="2" t="str">
        <f aca="false">IF(U6=2,IF(EXACT(S6,T6),"ChatGPT",IF(EXACT(R6,T6),"Opus 5","Gemini")),"")</f>
        <v>ChatGPT</v>
      </c>
      <c r="W6" s="2" t="n">
        <f aca="false">3-EXACT(B6,C6)-EXACT(B6,D6)-EXACT(B6,E6)</f>
        <v>2</v>
      </c>
      <c r="X6" s="2" t="s">
        <v>91</v>
      </c>
      <c r="Y6" s="2" t="s">
        <v>92</v>
      </c>
      <c r="Z6" s="2" t="s">
        <v>93</v>
      </c>
    </row>
    <row r="7" customFormat="false" ht="15" hidden="false" customHeight="false" outlineLevel="0" collapsed="false">
      <c r="A7" s="2" t="n">
        <v>6</v>
      </c>
      <c r="B7" s="2" t="s">
        <v>94</v>
      </c>
      <c r="C7" s="2" t="s">
        <v>94</v>
      </c>
      <c r="D7" s="2" t="s">
        <v>94</v>
      </c>
      <c r="E7" s="2" t="s">
        <v>94</v>
      </c>
      <c r="F7" s="2" t="n">
        <f aca="false">IF(AND(EXACT(C7,D7),EXACT(D7,E7)),3,IF(OR(EXACT(C7,D7),EXACT(C7,E7),EXACT(D7,E7)),2,1))</f>
        <v>3</v>
      </c>
      <c r="G7" s="2" t="str">
        <f aca="false">IF(F7=2,IF(EXACT(D7,E7),"ChatGPT",IF(EXACT(C7,E7),"Opus 5","Gemini")),"")</f>
        <v/>
      </c>
      <c r="H7" s="2" t="s">
        <v>71</v>
      </c>
      <c r="I7" s="2" t="s">
        <v>71</v>
      </c>
      <c r="J7" s="2" t="s">
        <v>71</v>
      </c>
      <c r="K7" s="2" t="n">
        <f aca="false">IF(AND(EXACT(H7,I7),EXACT(I7,J7)),3,IF(OR(EXACT(H7,I7),EXACT(H7,J7),EXACT(I7,J7)),2,1))</f>
        <v>3</v>
      </c>
      <c r="L7" s="2" t="str">
        <f aca="false">IF(K7=2,IF(EXACT(I7,J7),"ChatGPT",IF(EXACT(H7,J7),"Opus 5","Gemini")),"")</f>
        <v/>
      </c>
      <c r="M7" s="2" t="s">
        <v>73</v>
      </c>
      <c r="N7" s="2" t="s">
        <v>73</v>
      </c>
      <c r="O7" s="2" t="s">
        <v>73</v>
      </c>
      <c r="P7" s="2" t="n">
        <f aca="false">IF(AND(EXACT(M7,N7),EXACT(N7,O7)),3,IF(OR(EXACT(M7,N7),EXACT(M7,O7),EXACT(N7,O7)),2,1))</f>
        <v>3</v>
      </c>
      <c r="Q7" s="2" t="str">
        <f aca="false">IF(P7=2,IF(EXACT(N7,O7),"ChatGPT",IF(EXACT(M7,O7),"Opus 5","Gemini")),"")</f>
        <v/>
      </c>
      <c r="R7" s="2" t="s">
        <v>75</v>
      </c>
      <c r="S7" s="2" t="s">
        <v>75</v>
      </c>
      <c r="T7" s="2" t="s">
        <v>75</v>
      </c>
      <c r="U7" s="2" t="n">
        <f aca="false">IF(AND(EXACT(R7,S7),EXACT(S7,T7)),3,IF(OR(EXACT(R7,S7),EXACT(R7,T7),EXACT(S7,T7)),2,1))</f>
        <v>3</v>
      </c>
      <c r="V7" s="2" t="str">
        <f aca="false">IF(U7=2,IF(EXACT(S7,T7),"ChatGPT",IF(EXACT(R7,T7),"Opus 5","Gemini")),"")</f>
        <v/>
      </c>
      <c r="W7" s="2" t="n">
        <f aca="false">3-EXACT(B7,C7)-EXACT(B7,D7)-EXACT(B7,E7)</f>
        <v>0</v>
      </c>
      <c r="X7" s="2" t="s">
        <v>95</v>
      </c>
      <c r="Y7" s="2" t="s">
        <v>96</v>
      </c>
      <c r="Z7" s="2" t="s">
        <v>97</v>
      </c>
    </row>
    <row r="8" customFormat="false" ht="15" hidden="false" customHeight="false" outlineLevel="0" collapsed="false">
      <c r="A8" s="2" t="n">
        <v>7</v>
      </c>
      <c r="B8" s="2" t="s">
        <v>98</v>
      </c>
      <c r="C8" s="2" t="s">
        <v>98</v>
      </c>
      <c r="D8" s="2" t="s">
        <v>98</v>
      </c>
      <c r="E8" s="2" t="s">
        <v>98</v>
      </c>
      <c r="F8" s="2" t="n">
        <f aca="false">IF(AND(EXACT(C8,D8),EXACT(D8,E8)),3,IF(OR(EXACT(C8,D8),EXACT(C8,E8),EXACT(D8,E8)),2,1))</f>
        <v>3</v>
      </c>
      <c r="G8" s="2" t="str">
        <f aca="false">IF(F8=2,IF(EXACT(D8,E8),"ChatGPT",IF(EXACT(C8,E8),"Opus 5","Gemini")),"")</f>
        <v/>
      </c>
      <c r="H8" s="2" t="s">
        <v>71</v>
      </c>
      <c r="I8" s="2" t="s">
        <v>71</v>
      </c>
      <c r="J8" s="2" t="s">
        <v>71</v>
      </c>
      <c r="K8" s="2" t="n">
        <f aca="false">IF(AND(EXACT(H8,I8),EXACT(I8,J8)),3,IF(OR(EXACT(H8,I8),EXACT(H8,J8),EXACT(I8,J8)),2,1))</f>
        <v>3</v>
      </c>
      <c r="L8" s="2" t="str">
        <f aca="false">IF(K8=2,IF(EXACT(I8,J8),"ChatGPT",IF(EXACT(H8,J8),"Opus 5","Gemini")),"")</f>
        <v/>
      </c>
      <c r="M8" s="2" t="s">
        <v>73</v>
      </c>
      <c r="N8" s="2" t="s">
        <v>73</v>
      </c>
      <c r="O8" s="2" t="s">
        <v>73</v>
      </c>
      <c r="P8" s="2" t="n">
        <f aca="false">IF(AND(EXACT(M8,N8),EXACT(N8,O8)),3,IF(OR(EXACT(M8,N8),EXACT(M8,O8),EXACT(N8,O8)),2,1))</f>
        <v>3</v>
      </c>
      <c r="Q8" s="2" t="str">
        <f aca="false">IF(P8=2,IF(EXACT(N8,O8),"ChatGPT",IF(EXACT(M8,O8),"Opus 5","Gemini")),"")</f>
        <v/>
      </c>
      <c r="R8" s="2" t="s">
        <v>75</v>
      </c>
      <c r="S8" s="2" t="s">
        <v>75</v>
      </c>
      <c r="T8" s="2" t="s">
        <v>75</v>
      </c>
      <c r="U8" s="2" t="n">
        <f aca="false">IF(AND(EXACT(R8,S8),EXACT(S8,T8)),3,IF(OR(EXACT(R8,S8),EXACT(R8,T8),EXACT(S8,T8)),2,1))</f>
        <v>3</v>
      </c>
      <c r="V8" s="2" t="str">
        <f aca="false">IF(U8=2,IF(EXACT(S8,T8),"ChatGPT",IF(EXACT(R8,T8),"Opus 5","Gemini")),"")</f>
        <v/>
      </c>
      <c r="W8" s="2" t="n">
        <f aca="false">3-EXACT(B8,C8)-EXACT(B8,D8)-EXACT(B8,E8)</f>
        <v>0</v>
      </c>
      <c r="X8" s="2" t="s">
        <v>84</v>
      </c>
      <c r="Y8" s="2" t="s">
        <v>83</v>
      </c>
      <c r="Z8" s="2" t="s">
        <v>84</v>
      </c>
    </row>
    <row r="9" customFormat="false" ht="15" hidden="false" customHeight="false" outlineLevel="0" collapsed="false">
      <c r="A9" s="2" t="n">
        <v>8</v>
      </c>
      <c r="B9" s="2" t="s">
        <v>99</v>
      </c>
      <c r="C9" s="2" t="s">
        <v>99</v>
      </c>
      <c r="D9" s="2" t="s">
        <v>99</v>
      </c>
      <c r="E9" s="2" t="s">
        <v>99</v>
      </c>
      <c r="F9" s="2" t="n">
        <f aca="false">IF(AND(EXACT(C9,D9),EXACT(D9,E9)),3,IF(OR(EXACT(C9,D9),EXACT(C9,E9),EXACT(D9,E9)),2,1))</f>
        <v>3</v>
      </c>
      <c r="G9" s="2" t="str">
        <f aca="false">IF(F9=2,IF(EXACT(D9,E9),"ChatGPT",IF(EXACT(C9,E9),"Opus 5","Gemini")),"")</f>
        <v/>
      </c>
      <c r="H9" s="2" t="s">
        <v>57</v>
      </c>
      <c r="I9" s="2" t="s">
        <v>71</v>
      </c>
      <c r="J9" s="2" t="s">
        <v>71</v>
      </c>
      <c r="K9" s="2" t="n">
        <f aca="false">IF(AND(EXACT(H9,I9),EXACT(I9,J9)),3,IF(OR(EXACT(H9,I9),EXACT(H9,J9),EXACT(I9,J9)),2,1))</f>
        <v>2</v>
      </c>
      <c r="L9" s="2" t="str">
        <f aca="false">IF(K9=2,IF(EXACT(I9,J9),"ChatGPT",IF(EXACT(H9,J9),"Opus 5","Gemini")),"")</f>
        <v>ChatGPT</v>
      </c>
      <c r="M9" s="2" t="s">
        <v>72</v>
      </c>
      <c r="N9" s="2" t="s">
        <v>73</v>
      </c>
      <c r="O9" s="2" t="s">
        <v>73</v>
      </c>
      <c r="P9" s="2" t="n">
        <f aca="false">IF(AND(EXACT(M9,N9),EXACT(N9,O9)),3,IF(OR(EXACT(M9,N9),EXACT(M9,O9),EXACT(N9,O9)),2,1))</f>
        <v>2</v>
      </c>
      <c r="Q9" s="2" t="str">
        <f aca="false">IF(P9=2,IF(EXACT(N9,O9),"ChatGPT",IF(EXACT(M9,O9),"Opus 5","Gemini")),"")</f>
        <v>ChatGPT</v>
      </c>
      <c r="R9" s="2" t="s">
        <v>74</v>
      </c>
      <c r="S9" s="2" t="s">
        <v>75</v>
      </c>
      <c r="T9" s="2" t="s">
        <v>75</v>
      </c>
      <c r="U9" s="2" t="n">
        <f aca="false">IF(AND(EXACT(R9,S9),EXACT(S9,T9)),3,IF(OR(EXACT(R9,S9),EXACT(R9,T9),EXACT(S9,T9)),2,1))</f>
        <v>2</v>
      </c>
      <c r="V9" s="2" t="str">
        <f aca="false">IF(U9=2,IF(EXACT(S9,T9),"ChatGPT",IF(EXACT(R9,T9),"Opus 5","Gemini")),"")</f>
        <v>ChatGPT</v>
      </c>
      <c r="W9" s="2" t="n">
        <f aca="false">3-EXACT(B9,C9)-EXACT(B9,D9)-EXACT(B9,E9)</f>
        <v>0</v>
      </c>
      <c r="X9" s="2" t="s">
        <v>100</v>
      </c>
      <c r="Y9" s="2" t="s">
        <v>101</v>
      </c>
      <c r="Z9" s="2" t="s">
        <v>102</v>
      </c>
    </row>
    <row r="10" customFormat="false" ht="15" hidden="false" customHeight="false" outlineLevel="0" collapsed="false">
      <c r="A10" s="2" t="n">
        <v>9</v>
      </c>
      <c r="B10" s="2" t="s">
        <v>103</v>
      </c>
      <c r="C10" s="2" t="s">
        <v>104</v>
      </c>
      <c r="D10" s="2" t="s">
        <v>104</v>
      </c>
      <c r="E10" s="2" t="s">
        <v>104</v>
      </c>
      <c r="F10" s="2" t="n">
        <f aca="false">IF(AND(EXACT(C10,D10),EXACT(D10,E10)),3,IF(OR(EXACT(C10,D10),EXACT(C10,E10),EXACT(D10,E10)),2,1))</f>
        <v>3</v>
      </c>
      <c r="G10" s="2" t="str">
        <f aca="false">IF(F10=2,IF(EXACT(D10,E10),"ChatGPT",IF(EXACT(C10,E10),"Opus 5","Gemini")),"")</f>
        <v/>
      </c>
      <c r="H10" s="2" t="s">
        <v>56</v>
      </c>
      <c r="I10" s="2" t="s">
        <v>56</v>
      </c>
      <c r="J10" s="2" t="s">
        <v>56</v>
      </c>
      <c r="K10" s="2" t="n">
        <f aca="false">IF(AND(EXACT(H10,I10),EXACT(I10,J10)),3,IF(OR(EXACT(H10,I10),EXACT(H10,J10),EXACT(I10,J10)),2,1))</f>
        <v>3</v>
      </c>
      <c r="L10" s="2" t="str">
        <f aca="false">IF(K10=2,IF(EXACT(I10,J10),"ChatGPT",IF(EXACT(H10,J10),"Opus 5","Gemini")),"")</f>
        <v/>
      </c>
      <c r="M10" s="2" t="s">
        <v>58</v>
      </c>
      <c r="N10" s="2" t="s">
        <v>58</v>
      </c>
      <c r="O10" s="2" t="s">
        <v>58</v>
      </c>
      <c r="P10" s="2" t="n">
        <f aca="false">IF(AND(EXACT(M10,N10),EXACT(N10,O10)),3,IF(OR(EXACT(M10,N10),EXACT(M10,O10),EXACT(N10,O10)),2,1))</f>
        <v>3</v>
      </c>
      <c r="Q10" s="2" t="str">
        <f aca="false">IF(P10=2,IF(EXACT(N10,O10),"ChatGPT",IF(EXACT(M10,O10),"Opus 5","Gemini")),"")</f>
        <v/>
      </c>
      <c r="R10" s="2" t="s">
        <v>59</v>
      </c>
      <c r="S10" s="2" t="s">
        <v>61</v>
      </c>
      <c r="T10" s="2" t="s">
        <v>61</v>
      </c>
      <c r="U10" s="2" t="n">
        <f aca="false">IF(AND(EXACT(R10,S10),EXACT(S10,T10)),3,IF(OR(EXACT(R10,S10),EXACT(R10,T10),EXACT(S10,T10)),2,1))</f>
        <v>2</v>
      </c>
      <c r="V10" s="2" t="str">
        <f aca="false">IF(U10=2,IF(EXACT(S10,T10),"ChatGPT",IF(EXACT(R10,T10),"Opus 5","Gemini")),"")</f>
        <v>ChatGPT</v>
      </c>
      <c r="W10" s="2" t="n">
        <f aca="false">3-EXACT(B10,C10)-EXACT(B10,D10)-EXACT(B10,E10)</f>
        <v>3</v>
      </c>
      <c r="X10" s="2" t="s">
        <v>105</v>
      </c>
      <c r="Y10" s="2" t="s">
        <v>106</v>
      </c>
      <c r="Z10" s="2" t="s">
        <v>107</v>
      </c>
    </row>
    <row r="11" customFormat="false" ht="15" hidden="false" customHeight="false" outlineLevel="0" collapsed="false">
      <c r="A11" s="2" t="n">
        <v>10</v>
      </c>
      <c r="B11" s="2" t="s">
        <v>108</v>
      </c>
      <c r="C11" s="2" t="s">
        <v>109</v>
      </c>
      <c r="D11" s="2" t="s">
        <v>108</v>
      </c>
      <c r="E11" s="2" t="s">
        <v>108</v>
      </c>
      <c r="F11" s="2" t="n">
        <f aca="false">IF(AND(EXACT(C11,D11),EXACT(D11,E11)),3,IF(OR(EXACT(C11,D11),EXACT(C11,E11),EXACT(D11,E11)),2,1))</f>
        <v>2</v>
      </c>
      <c r="G11" s="2" t="str">
        <f aca="false">IF(F11=2,IF(EXACT(D11,E11),"ChatGPT",IF(EXACT(C11,E11),"Opus 5","Gemini")),"")</f>
        <v>ChatGPT</v>
      </c>
      <c r="H11" s="2" t="s">
        <v>56</v>
      </c>
      <c r="I11" s="2" t="s">
        <v>80</v>
      </c>
      <c r="J11" s="2" t="s">
        <v>71</v>
      </c>
      <c r="K11" s="2" t="n">
        <f aca="false">IF(AND(EXACT(H11,I11),EXACT(I11,J11)),3,IF(OR(EXACT(H11,I11),EXACT(H11,J11),EXACT(I11,J11)),2,1))</f>
        <v>1</v>
      </c>
      <c r="L11" s="2" t="str">
        <f aca="false">IF(K11=2,IF(EXACT(I11,J11),"ChatGPT",IF(EXACT(H11,J11),"Opus 5","Gemini")),"")</f>
        <v/>
      </c>
      <c r="M11" s="2" t="s">
        <v>88</v>
      </c>
      <c r="N11" s="2" t="s">
        <v>88</v>
      </c>
      <c r="O11" s="2" t="s">
        <v>88</v>
      </c>
      <c r="P11" s="2" t="n">
        <f aca="false">IF(AND(EXACT(M11,N11),EXACT(N11,O11)),3,IF(OR(EXACT(M11,N11),EXACT(M11,O11),EXACT(N11,O11)),2,1))</f>
        <v>3</v>
      </c>
      <c r="Q11" s="2" t="str">
        <f aca="false">IF(P11=2,IF(EXACT(N11,O11),"ChatGPT",IF(EXACT(M11,O11),"Opus 5","Gemini")),"")</f>
        <v/>
      </c>
      <c r="R11" s="2" t="s">
        <v>59</v>
      </c>
      <c r="S11" s="2" t="s">
        <v>90</v>
      </c>
      <c r="T11" s="2" t="s">
        <v>89</v>
      </c>
      <c r="U11" s="2" t="n">
        <f aca="false">IF(AND(EXACT(R11,S11),EXACT(S11,T11)),3,IF(OR(EXACT(R11,S11),EXACT(R11,T11),EXACT(S11,T11)),2,1))</f>
        <v>1</v>
      </c>
      <c r="V11" s="2" t="str">
        <f aca="false">IF(U11=2,IF(EXACT(S11,T11),"ChatGPT",IF(EXACT(R11,T11),"Opus 5","Gemini")),"")</f>
        <v/>
      </c>
      <c r="W11" s="2" t="n">
        <f aca="false">3-EXACT(B11,C11)-EXACT(B11,D11)-EXACT(B11,E11)</f>
        <v>1</v>
      </c>
      <c r="X11" s="2" t="s">
        <v>91</v>
      </c>
      <c r="Y11" s="2" t="s">
        <v>110</v>
      </c>
      <c r="Z11" s="2" t="s">
        <v>91</v>
      </c>
    </row>
    <row r="12" customFormat="false" ht="15" hidden="false" customHeight="false" outlineLevel="0" collapsed="false">
      <c r="A12" s="2" t="n">
        <v>11</v>
      </c>
      <c r="B12" s="2" t="s">
        <v>111</v>
      </c>
      <c r="C12" s="2" t="s">
        <v>112</v>
      </c>
      <c r="D12" s="2" t="s">
        <v>113</v>
      </c>
      <c r="E12" s="2" t="s">
        <v>111</v>
      </c>
      <c r="F12" s="2" t="n">
        <f aca="false">IF(AND(EXACT(C12,D12),EXACT(D12,E12)),3,IF(OR(EXACT(C12,D12),EXACT(C12,E12),EXACT(D12,E12)),2,1))</f>
        <v>1</v>
      </c>
      <c r="G12" s="2" t="str">
        <f aca="false">IF(F12=2,IF(EXACT(D12,E12),"ChatGPT",IF(EXACT(C12,E12),"Opus 5","Gemini")),"")</f>
        <v/>
      </c>
      <c r="H12" s="2" t="s">
        <v>56</v>
      </c>
      <c r="I12" s="2" t="s">
        <v>56</v>
      </c>
      <c r="J12" s="2" t="s">
        <v>71</v>
      </c>
      <c r="K12" s="2" t="n">
        <f aca="false">IF(AND(EXACT(H12,I12),EXACT(I12,J12)),3,IF(OR(EXACT(H12,I12),EXACT(H12,J12),EXACT(I12,J12)),2,1))</f>
        <v>2</v>
      </c>
      <c r="L12" s="2" t="str">
        <f aca="false">IF(K12=2,IF(EXACT(I12,J12),"ChatGPT",IF(EXACT(H12,J12),"Opus 5","Gemini")),"")</f>
        <v>Gemini</v>
      </c>
      <c r="M12" s="2" t="s">
        <v>114</v>
      </c>
      <c r="N12" s="2" t="s">
        <v>58</v>
      </c>
      <c r="O12" s="2" t="s">
        <v>114</v>
      </c>
      <c r="P12" s="2" t="n">
        <f aca="false">IF(AND(EXACT(M12,N12),EXACT(N12,O12)),3,IF(OR(EXACT(M12,N12),EXACT(M12,O12),EXACT(N12,O12)),2,1))</f>
        <v>2</v>
      </c>
      <c r="Q12" s="2" t="str">
        <f aca="false">IF(P12=2,IF(EXACT(N12,O12),"ChatGPT",IF(EXACT(M12,O12),"Opus 5","Gemini")),"")</f>
        <v>Opus 5</v>
      </c>
      <c r="R12" s="2" t="s">
        <v>59</v>
      </c>
      <c r="S12" s="2" t="s">
        <v>59</v>
      </c>
      <c r="T12" s="2" t="s">
        <v>66</v>
      </c>
      <c r="U12" s="2" t="n">
        <f aca="false">IF(AND(EXACT(R12,S12),EXACT(S12,T12)),3,IF(OR(EXACT(R12,S12),EXACT(R12,T12),EXACT(S12,T12)),2,1))</f>
        <v>2</v>
      </c>
      <c r="V12" s="2" t="str">
        <f aca="false">IF(U12=2,IF(EXACT(S12,T12),"ChatGPT",IF(EXACT(R12,T12),"Opus 5","Gemini")),"")</f>
        <v>Gemini</v>
      </c>
      <c r="W12" s="2" t="n">
        <f aca="false">3-EXACT(B12,C12)-EXACT(B12,D12)-EXACT(B12,E12)</f>
        <v>2</v>
      </c>
      <c r="X12" s="2" t="s">
        <v>115</v>
      </c>
      <c r="Y12" s="2" t="s">
        <v>116</v>
      </c>
      <c r="Z12" s="2" t="s">
        <v>117</v>
      </c>
    </row>
    <row r="13" customFormat="false" ht="15" hidden="false" customHeight="false" outlineLevel="0" collapsed="false">
      <c r="A13" s="2" t="n">
        <v>12</v>
      </c>
      <c r="B13" s="2" t="s">
        <v>118</v>
      </c>
      <c r="C13" s="2" t="s">
        <v>118</v>
      </c>
      <c r="D13" s="2" t="s">
        <v>119</v>
      </c>
      <c r="E13" s="2" t="s">
        <v>118</v>
      </c>
      <c r="F13" s="2" t="n">
        <f aca="false">IF(AND(EXACT(C13,D13),EXACT(D13,E13)),3,IF(OR(EXACT(C13,D13),EXACT(C13,E13),EXACT(D13,E13)),2,1))</f>
        <v>2</v>
      </c>
      <c r="G13" s="2" t="str">
        <f aca="false">IF(F13=2,IF(EXACT(D13,E13),"ChatGPT",IF(EXACT(C13,E13),"Opus 5","Gemini")),"")</f>
        <v>Opus 5</v>
      </c>
      <c r="H13" s="2" t="s">
        <v>71</v>
      </c>
      <c r="I13" s="2" t="s">
        <v>56</v>
      </c>
      <c r="J13" s="2" t="s">
        <v>71</v>
      </c>
      <c r="K13" s="2" t="n">
        <f aca="false">IF(AND(EXACT(H13,I13),EXACT(I13,J13)),3,IF(OR(EXACT(H13,I13),EXACT(H13,J13),EXACT(I13,J13)),2,1))</f>
        <v>2</v>
      </c>
      <c r="L13" s="2" t="str">
        <f aca="false">IF(K13=2,IF(EXACT(I13,J13),"ChatGPT",IF(EXACT(H13,J13),"Opus 5","Gemini")),"")</f>
        <v>Opus 5</v>
      </c>
      <c r="M13" s="2" t="s">
        <v>73</v>
      </c>
      <c r="N13" s="2" t="s">
        <v>72</v>
      </c>
      <c r="O13" s="2" t="s">
        <v>73</v>
      </c>
      <c r="P13" s="2" t="n">
        <f aca="false">IF(AND(EXACT(M13,N13),EXACT(N13,O13)),3,IF(OR(EXACT(M13,N13),EXACT(M13,O13),EXACT(N13,O13)),2,1))</f>
        <v>2</v>
      </c>
      <c r="Q13" s="2" t="str">
        <f aca="false">IF(P13=2,IF(EXACT(N13,O13),"ChatGPT",IF(EXACT(M13,O13),"Opus 5","Gemini")),"")</f>
        <v>Opus 5</v>
      </c>
      <c r="R13" s="2" t="s">
        <v>75</v>
      </c>
      <c r="S13" s="2" t="s">
        <v>120</v>
      </c>
      <c r="T13" s="2" t="s">
        <v>75</v>
      </c>
      <c r="U13" s="2" t="n">
        <f aca="false">IF(AND(EXACT(R13,S13),EXACT(S13,T13)),3,IF(OR(EXACT(R13,S13),EXACT(R13,T13),EXACT(S13,T13)),2,1))</f>
        <v>2</v>
      </c>
      <c r="V13" s="2" t="str">
        <f aca="false">IF(U13=2,IF(EXACT(S13,T13),"ChatGPT",IF(EXACT(R13,T13),"Opus 5","Gemini")),"")</f>
        <v>Opus 5</v>
      </c>
      <c r="W13" s="2" t="n">
        <f aca="false">3-EXACT(B13,C13)-EXACT(B13,D13)-EXACT(B13,E13)</f>
        <v>1</v>
      </c>
      <c r="X13" s="2" t="s">
        <v>121</v>
      </c>
      <c r="Y13" s="2" t="s">
        <v>122</v>
      </c>
      <c r="Z13" s="2" t="s">
        <v>123</v>
      </c>
    </row>
    <row r="14" customFormat="false" ht="15" hidden="false" customHeight="false" outlineLevel="0" collapsed="false">
      <c r="A14" s="2" t="n">
        <v>13</v>
      </c>
      <c r="B14" s="2" t="s">
        <v>124</v>
      </c>
      <c r="C14" s="2" t="s">
        <v>124</v>
      </c>
      <c r="D14" s="2" t="s">
        <v>124</v>
      </c>
      <c r="E14" s="2" t="s">
        <v>124</v>
      </c>
      <c r="F14" s="2" t="n">
        <f aca="false">IF(AND(EXACT(C14,D14),EXACT(D14,E14)),3,IF(OR(EXACT(C14,D14),EXACT(C14,E14),EXACT(D14,E14)),2,1))</f>
        <v>3</v>
      </c>
      <c r="G14" s="2" t="str">
        <f aca="false">IF(F14=2,IF(EXACT(D14,E14),"ChatGPT",IF(EXACT(C14,E14),"Opus 5","Gemini")),"")</f>
        <v/>
      </c>
      <c r="H14" s="2" t="s">
        <v>57</v>
      </c>
      <c r="I14" s="2" t="s">
        <v>57</v>
      </c>
      <c r="J14" s="2" t="s">
        <v>57</v>
      </c>
      <c r="K14" s="2" t="n">
        <f aca="false">IF(AND(EXACT(H14,I14),EXACT(I14,J14)),3,IF(OR(EXACT(H14,I14),EXACT(H14,J14),EXACT(I14,J14)),2,1))</f>
        <v>3</v>
      </c>
      <c r="L14" s="2" t="str">
        <f aca="false">IF(K14=2,IF(EXACT(I14,J14),"ChatGPT",IF(EXACT(H14,J14),"Opus 5","Gemini")),"")</f>
        <v/>
      </c>
      <c r="M14" s="2" t="s">
        <v>58</v>
      </c>
      <c r="N14" s="2" t="s">
        <v>58</v>
      </c>
      <c r="O14" s="2" t="s">
        <v>58</v>
      </c>
      <c r="P14" s="2" t="n">
        <f aca="false">IF(AND(EXACT(M14,N14),EXACT(N14,O14)),3,IF(OR(EXACT(M14,N14),EXACT(M14,O14),EXACT(N14,O14)),2,1))</f>
        <v>3</v>
      </c>
      <c r="Q14" s="2" t="str">
        <f aca="false">IF(P14=2,IF(EXACT(N14,O14),"ChatGPT",IF(EXACT(M14,O14),"Opus 5","Gemini")),"")</f>
        <v/>
      </c>
      <c r="R14" s="2" t="s">
        <v>61</v>
      </c>
      <c r="S14" s="2" t="s">
        <v>61</v>
      </c>
      <c r="T14" s="2" t="s">
        <v>61</v>
      </c>
      <c r="U14" s="2" t="n">
        <f aca="false">IF(AND(EXACT(R14,S14),EXACT(S14,T14)),3,IF(OR(EXACT(R14,S14),EXACT(R14,T14),EXACT(S14,T14)),2,1))</f>
        <v>3</v>
      </c>
      <c r="V14" s="2" t="str">
        <f aca="false">IF(U14=2,IF(EXACT(S14,T14),"ChatGPT",IF(EXACT(R14,T14),"Opus 5","Gemini")),"")</f>
        <v/>
      </c>
      <c r="W14" s="2" t="n">
        <f aca="false">3-EXACT(B14,C14)-EXACT(B14,D14)-EXACT(B14,E14)</f>
        <v>0</v>
      </c>
      <c r="X14" s="2" t="s">
        <v>125</v>
      </c>
      <c r="Y14" s="2" t="s">
        <v>126</v>
      </c>
      <c r="Z14" s="2" t="s">
        <v>125</v>
      </c>
    </row>
    <row r="15" customFormat="false" ht="15" hidden="false" customHeight="false" outlineLevel="0" collapsed="false">
      <c r="A15" s="2" t="n">
        <v>14</v>
      </c>
      <c r="B15" s="2" t="s">
        <v>127</v>
      </c>
      <c r="C15" s="2" t="s">
        <v>127</v>
      </c>
      <c r="D15" s="2" t="s">
        <v>127</v>
      </c>
      <c r="E15" s="2" t="s">
        <v>127</v>
      </c>
      <c r="F15" s="2" t="n">
        <f aca="false">IF(AND(EXACT(C15,D15),EXACT(D15,E15)),3,IF(OR(EXACT(C15,D15),EXACT(C15,E15),EXACT(D15,E15)),2,1))</f>
        <v>3</v>
      </c>
      <c r="G15" s="2" t="str">
        <f aca="false">IF(F15=2,IF(EXACT(D15,E15),"ChatGPT",IF(EXACT(C15,E15),"Opus 5","Gemini")),"")</f>
        <v/>
      </c>
      <c r="H15" s="2" t="s">
        <v>71</v>
      </c>
      <c r="I15" s="2" t="s">
        <v>71</v>
      </c>
      <c r="J15" s="2" t="s">
        <v>71</v>
      </c>
      <c r="K15" s="2" t="n">
        <f aca="false">IF(AND(EXACT(H15,I15),EXACT(I15,J15)),3,IF(OR(EXACT(H15,I15),EXACT(H15,J15),EXACT(I15,J15)),2,1))</f>
        <v>3</v>
      </c>
      <c r="L15" s="2" t="str">
        <f aca="false">IF(K15=2,IF(EXACT(I15,J15),"ChatGPT",IF(EXACT(H15,J15),"Opus 5","Gemini")),"")</f>
        <v/>
      </c>
      <c r="M15" s="2" t="s">
        <v>73</v>
      </c>
      <c r="N15" s="2" t="s">
        <v>73</v>
      </c>
      <c r="O15" s="2" t="s">
        <v>73</v>
      </c>
      <c r="P15" s="2" t="n">
        <f aca="false">IF(AND(EXACT(M15,N15),EXACT(N15,O15)),3,IF(OR(EXACT(M15,N15),EXACT(M15,O15),EXACT(N15,O15)),2,1))</f>
        <v>3</v>
      </c>
      <c r="Q15" s="2" t="str">
        <f aca="false">IF(P15=2,IF(EXACT(N15,O15),"ChatGPT",IF(EXACT(M15,O15),"Opus 5","Gemini")),"")</f>
        <v/>
      </c>
      <c r="R15" s="2" t="s">
        <v>75</v>
      </c>
      <c r="S15" s="2" t="s">
        <v>75</v>
      </c>
      <c r="T15" s="2" t="s">
        <v>75</v>
      </c>
      <c r="U15" s="2" t="n">
        <f aca="false">IF(AND(EXACT(R15,S15),EXACT(S15,T15)),3,IF(OR(EXACT(R15,S15),EXACT(R15,T15),EXACT(S15,T15)),2,1))</f>
        <v>3</v>
      </c>
      <c r="V15" s="2" t="str">
        <f aca="false">IF(U15=2,IF(EXACT(S15,T15),"ChatGPT",IF(EXACT(R15,T15),"Opus 5","Gemini")),"")</f>
        <v/>
      </c>
      <c r="W15" s="2" t="n">
        <f aca="false">3-EXACT(B15,C15)-EXACT(B15,D15)-EXACT(B15,E15)</f>
        <v>0</v>
      </c>
      <c r="X15" s="2" t="s">
        <v>128</v>
      </c>
      <c r="Y15" s="2" t="s">
        <v>129</v>
      </c>
      <c r="Z15" s="2" t="s">
        <v>130</v>
      </c>
    </row>
    <row r="16" customFormat="false" ht="15" hidden="false" customHeight="false" outlineLevel="0" collapsed="false">
      <c r="A16" s="2" t="n">
        <v>15</v>
      </c>
      <c r="B16" s="2" t="s">
        <v>131</v>
      </c>
      <c r="C16" s="2" t="s">
        <v>131</v>
      </c>
      <c r="D16" s="2" t="s">
        <v>131</v>
      </c>
      <c r="E16" s="2" t="s">
        <v>131</v>
      </c>
      <c r="F16" s="2" t="n">
        <f aca="false">IF(AND(EXACT(C16,D16),EXACT(D16,E16)),3,IF(OR(EXACT(C16,D16),EXACT(C16,E16),EXACT(D16,E16)),2,1))</f>
        <v>3</v>
      </c>
      <c r="G16" s="2" t="str">
        <f aca="false">IF(F16=2,IF(EXACT(D16,E16),"ChatGPT",IF(EXACT(C16,E16),"Opus 5","Gemini")),"")</f>
        <v/>
      </c>
      <c r="H16" s="2" t="s">
        <v>71</v>
      </c>
      <c r="I16" s="2" t="s">
        <v>80</v>
      </c>
      <c r="J16" s="2" t="s">
        <v>71</v>
      </c>
      <c r="K16" s="2" t="n">
        <f aca="false">IF(AND(EXACT(H16,I16),EXACT(I16,J16)),3,IF(OR(EXACT(H16,I16),EXACT(H16,J16),EXACT(I16,J16)),2,1))</f>
        <v>2</v>
      </c>
      <c r="L16" s="2" t="str">
        <f aca="false">IF(K16=2,IF(EXACT(I16,J16),"ChatGPT",IF(EXACT(H16,J16),"Opus 5","Gemini")),"")</f>
        <v>Opus 5</v>
      </c>
      <c r="M16" s="2" t="s">
        <v>73</v>
      </c>
      <c r="N16" s="2" t="s">
        <v>73</v>
      </c>
      <c r="O16" s="2" t="s">
        <v>73</v>
      </c>
      <c r="P16" s="2" t="n">
        <f aca="false">IF(AND(EXACT(M16,N16),EXACT(N16,O16)),3,IF(OR(EXACT(M16,N16),EXACT(M16,O16),EXACT(N16,O16)),2,1))</f>
        <v>3</v>
      </c>
      <c r="Q16" s="2" t="str">
        <f aca="false">IF(P16=2,IF(EXACT(N16,O16),"ChatGPT",IF(EXACT(M16,O16),"Opus 5","Gemini")),"")</f>
        <v/>
      </c>
      <c r="R16" s="2" t="s">
        <v>75</v>
      </c>
      <c r="S16" s="2" t="s">
        <v>75</v>
      </c>
      <c r="T16" s="2" t="s">
        <v>75</v>
      </c>
      <c r="U16" s="2" t="n">
        <f aca="false">IF(AND(EXACT(R16,S16),EXACT(S16,T16)),3,IF(OR(EXACT(R16,S16),EXACT(R16,T16),EXACT(S16,T16)),2,1))</f>
        <v>3</v>
      </c>
      <c r="V16" s="2" t="str">
        <f aca="false">IF(U16=2,IF(EXACT(S16,T16),"ChatGPT",IF(EXACT(R16,T16),"Opus 5","Gemini")),"")</f>
        <v/>
      </c>
      <c r="W16" s="2" t="n">
        <f aca="false">3-EXACT(B16,C16)-EXACT(B16,D16)-EXACT(B16,E16)</f>
        <v>0</v>
      </c>
      <c r="X16" s="2" t="s">
        <v>132</v>
      </c>
      <c r="Y16" s="2" t="s">
        <v>133</v>
      </c>
      <c r="Z16" s="2" t="s">
        <v>134</v>
      </c>
    </row>
    <row r="17" customFormat="false" ht="15" hidden="false" customHeight="false" outlineLevel="0" collapsed="false">
      <c r="A17" s="2" t="n">
        <v>16</v>
      </c>
      <c r="B17" s="2" t="s">
        <v>135</v>
      </c>
      <c r="C17" s="2" t="s">
        <v>135</v>
      </c>
      <c r="D17" s="2" t="s">
        <v>135</v>
      </c>
      <c r="E17" s="2" t="s">
        <v>135</v>
      </c>
      <c r="F17" s="2" t="n">
        <f aca="false">IF(AND(EXACT(C17,D17),EXACT(D17,E17)),3,IF(OR(EXACT(C17,D17),EXACT(C17,E17),EXACT(D17,E17)),2,1))</f>
        <v>3</v>
      </c>
      <c r="G17" s="2" t="str">
        <f aca="false">IF(F17=2,IF(EXACT(D17,E17),"ChatGPT",IF(EXACT(C17,E17),"Opus 5","Gemini")),"")</f>
        <v/>
      </c>
      <c r="H17" s="2" t="s">
        <v>57</v>
      </c>
      <c r="I17" s="2" t="s">
        <v>57</v>
      </c>
      <c r="J17" s="2" t="s">
        <v>71</v>
      </c>
      <c r="K17" s="2" t="n">
        <f aca="false">IF(AND(EXACT(H17,I17),EXACT(I17,J17)),3,IF(OR(EXACT(H17,I17),EXACT(H17,J17),EXACT(I17,J17)),2,1))</f>
        <v>2</v>
      </c>
      <c r="L17" s="2" t="str">
        <f aca="false">IF(K17=2,IF(EXACT(I17,J17),"ChatGPT",IF(EXACT(H17,J17),"Opus 5","Gemini")),"")</f>
        <v>Gemini</v>
      </c>
      <c r="M17" s="2" t="s">
        <v>72</v>
      </c>
      <c r="N17" s="2" t="s">
        <v>72</v>
      </c>
      <c r="O17" s="2" t="s">
        <v>72</v>
      </c>
      <c r="P17" s="2" t="n">
        <f aca="false">IF(AND(EXACT(M17,N17),EXACT(N17,O17)),3,IF(OR(EXACT(M17,N17),EXACT(M17,O17),EXACT(N17,O17)),2,1))</f>
        <v>3</v>
      </c>
      <c r="Q17" s="2" t="str">
        <f aca="false">IF(P17=2,IF(EXACT(N17,O17),"ChatGPT",IF(EXACT(M17,O17),"Opus 5","Gemini")),"")</f>
        <v/>
      </c>
      <c r="R17" s="2" t="s">
        <v>74</v>
      </c>
      <c r="S17" s="2" t="s">
        <v>60</v>
      </c>
      <c r="T17" s="2" t="s">
        <v>74</v>
      </c>
      <c r="U17" s="2" t="n">
        <f aca="false">IF(AND(EXACT(R17,S17),EXACT(S17,T17)),3,IF(OR(EXACT(R17,S17),EXACT(R17,T17),EXACT(S17,T17)),2,1))</f>
        <v>2</v>
      </c>
      <c r="V17" s="2" t="str">
        <f aca="false">IF(U17=2,IF(EXACT(S17,T17),"ChatGPT",IF(EXACT(R17,T17),"Opus 5","Gemini")),"")</f>
        <v>Opus 5</v>
      </c>
      <c r="W17" s="2" t="n">
        <f aca="false">3-EXACT(B17,C17)-EXACT(B17,D17)-EXACT(B17,E17)</f>
        <v>0</v>
      </c>
      <c r="X17" s="2" t="s">
        <v>136</v>
      </c>
      <c r="Y17" s="2" t="s">
        <v>137</v>
      </c>
      <c r="Z17" s="2" t="s">
        <v>138</v>
      </c>
    </row>
    <row r="18" customFormat="false" ht="15" hidden="false" customHeight="false" outlineLevel="0" collapsed="false">
      <c r="A18" s="2" t="n">
        <v>17</v>
      </c>
      <c r="B18" s="2" t="s">
        <v>139</v>
      </c>
      <c r="C18" s="2" t="s">
        <v>139</v>
      </c>
      <c r="D18" s="2" t="s">
        <v>139</v>
      </c>
      <c r="E18" s="2" t="s">
        <v>139</v>
      </c>
      <c r="F18" s="2" t="n">
        <f aca="false">IF(AND(EXACT(C18,D18),EXACT(D18,E18)),3,IF(OR(EXACT(C18,D18),EXACT(C18,E18),EXACT(D18,E18)),2,1))</f>
        <v>3</v>
      </c>
      <c r="G18" s="2" t="str">
        <f aca="false">IF(F18=2,IF(EXACT(D18,E18),"ChatGPT",IF(EXACT(C18,E18),"Opus 5","Gemini")),"")</f>
        <v/>
      </c>
      <c r="H18" s="2" t="s">
        <v>57</v>
      </c>
      <c r="I18" s="2" t="s">
        <v>57</v>
      </c>
      <c r="J18" s="2" t="s">
        <v>71</v>
      </c>
      <c r="K18" s="2" t="n">
        <f aca="false">IF(AND(EXACT(H18,I18),EXACT(I18,J18)),3,IF(OR(EXACT(H18,I18),EXACT(H18,J18),EXACT(I18,J18)),2,1))</f>
        <v>2</v>
      </c>
      <c r="L18" s="2" t="str">
        <f aca="false">IF(K18=2,IF(EXACT(I18,J18),"ChatGPT",IF(EXACT(H18,J18),"Opus 5","Gemini")),"")</f>
        <v>Gemini</v>
      </c>
      <c r="M18" s="2" t="s">
        <v>58</v>
      </c>
      <c r="N18" s="2" t="s">
        <v>58</v>
      </c>
      <c r="O18" s="2" t="s">
        <v>73</v>
      </c>
      <c r="P18" s="2" t="n">
        <f aca="false">IF(AND(EXACT(M18,N18),EXACT(N18,O18)),3,IF(OR(EXACT(M18,N18),EXACT(M18,O18),EXACT(N18,O18)),2,1))</f>
        <v>2</v>
      </c>
      <c r="Q18" s="2" t="str">
        <f aca="false">IF(P18=2,IF(EXACT(N18,O18),"ChatGPT",IF(EXACT(M18,O18),"Opus 5","Gemini")),"")</f>
        <v>Gemini</v>
      </c>
      <c r="R18" s="2" t="s">
        <v>66</v>
      </c>
      <c r="S18" s="2" t="s">
        <v>66</v>
      </c>
      <c r="T18" s="2" t="s">
        <v>74</v>
      </c>
      <c r="U18" s="2" t="n">
        <f aca="false">IF(AND(EXACT(R18,S18),EXACT(S18,T18)),3,IF(OR(EXACT(R18,S18),EXACT(R18,T18),EXACT(S18,T18)),2,1))</f>
        <v>2</v>
      </c>
      <c r="V18" s="2" t="str">
        <f aca="false">IF(U18=2,IF(EXACT(S18,T18),"ChatGPT",IF(EXACT(R18,T18),"Opus 5","Gemini")),"")</f>
        <v>Gemini</v>
      </c>
      <c r="W18" s="2" t="n">
        <f aca="false">3-EXACT(B18,C18)-EXACT(B18,D18)-EXACT(B18,E18)</f>
        <v>0</v>
      </c>
      <c r="X18" s="2" t="s">
        <v>140</v>
      </c>
      <c r="Y18" s="2" t="s">
        <v>141</v>
      </c>
      <c r="Z18" s="2" t="s">
        <v>142</v>
      </c>
    </row>
    <row r="19" customFormat="false" ht="15" hidden="false" customHeight="false" outlineLevel="0" collapsed="false">
      <c r="A19" s="2" t="n">
        <v>18</v>
      </c>
      <c r="B19" s="2" t="s">
        <v>143</v>
      </c>
      <c r="C19" s="2" t="s">
        <v>144</v>
      </c>
      <c r="D19" s="2" t="s">
        <v>144</v>
      </c>
      <c r="E19" s="2" t="s">
        <v>144</v>
      </c>
      <c r="F19" s="2" t="n">
        <f aca="false">IF(AND(EXACT(C19,D19),EXACT(D19,E19)),3,IF(OR(EXACT(C19,D19),EXACT(C19,E19),EXACT(D19,E19)),2,1))</f>
        <v>3</v>
      </c>
      <c r="G19" s="2" t="str">
        <f aca="false">IF(F19=2,IF(EXACT(D19,E19),"ChatGPT",IF(EXACT(C19,E19),"Opus 5","Gemini")),"")</f>
        <v/>
      </c>
      <c r="H19" s="2" t="s">
        <v>56</v>
      </c>
      <c r="I19" s="2" t="s">
        <v>56</v>
      </c>
      <c r="J19" s="2" t="s">
        <v>56</v>
      </c>
      <c r="K19" s="2" t="n">
        <f aca="false">IF(AND(EXACT(H19,I19),EXACT(I19,J19)),3,IF(OR(EXACT(H19,I19),EXACT(H19,J19),EXACT(I19,J19)),2,1))</f>
        <v>3</v>
      </c>
      <c r="L19" s="2" t="str">
        <f aca="false">IF(K19=2,IF(EXACT(I19,J19),"ChatGPT",IF(EXACT(H19,J19),"Opus 5","Gemini")),"")</f>
        <v/>
      </c>
      <c r="M19" s="2" t="s">
        <v>114</v>
      </c>
      <c r="N19" s="2" t="s">
        <v>114</v>
      </c>
      <c r="O19" s="2" t="s">
        <v>58</v>
      </c>
      <c r="P19" s="2" t="n">
        <f aca="false">IF(AND(EXACT(M19,N19),EXACT(N19,O19)),3,IF(OR(EXACT(M19,N19),EXACT(M19,O19),EXACT(N19,O19)),2,1))</f>
        <v>2</v>
      </c>
      <c r="Q19" s="2" t="str">
        <f aca="false">IF(P19=2,IF(EXACT(N19,O19),"ChatGPT",IF(EXACT(M19,O19),"Opus 5","Gemini")),"")</f>
        <v>Gemini</v>
      </c>
      <c r="R19" s="2" t="s">
        <v>59</v>
      </c>
      <c r="S19" s="2" t="s">
        <v>145</v>
      </c>
      <c r="T19" s="2" t="s">
        <v>90</v>
      </c>
      <c r="U19" s="2" t="n">
        <f aca="false">IF(AND(EXACT(R19,S19),EXACT(S19,T19)),3,IF(OR(EXACT(R19,S19),EXACT(R19,T19),EXACT(S19,T19)),2,1))</f>
        <v>1</v>
      </c>
      <c r="V19" s="2" t="str">
        <f aca="false">IF(U19=2,IF(EXACT(S19,T19),"ChatGPT",IF(EXACT(R19,T19),"Opus 5","Gemini")),"")</f>
        <v/>
      </c>
      <c r="W19" s="2" t="n">
        <f aca="false">3-EXACT(B19,C19)-EXACT(B19,D19)-EXACT(B19,E19)</f>
        <v>3</v>
      </c>
      <c r="X19" s="2" t="s">
        <v>146</v>
      </c>
      <c r="Y19" s="2" t="s">
        <v>147</v>
      </c>
      <c r="Z19" s="2" t="s">
        <v>148</v>
      </c>
    </row>
    <row r="20" customFormat="false" ht="15" hidden="false" customHeight="false" outlineLevel="0" collapsed="false">
      <c r="A20" s="2" t="n">
        <v>19</v>
      </c>
      <c r="B20" s="2" t="s">
        <v>149</v>
      </c>
      <c r="C20" s="2" t="s">
        <v>149</v>
      </c>
      <c r="D20" s="2" t="s">
        <v>149</v>
      </c>
      <c r="E20" s="2" t="s">
        <v>149</v>
      </c>
      <c r="F20" s="2" t="n">
        <f aca="false">IF(AND(EXACT(C20,D20),EXACT(D20,E20)),3,IF(OR(EXACT(C20,D20),EXACT(C20,E20),EXACT(D20,E20)),2,1))</f>
        <v>3</v>
      </c>
      <c r="G20" s="2" t="str">
        <f aca="false">IF(F20=2,IF(EXACT(D20,E20),"ChatGPT",IF(EXACT(C20,E20),"Opus 5","Gemini")),"")</f>
        <v/>
      </c>
      <c r="H20" s="2" t="s">
        <v>71</v>
      </c>
      <c r="I20" s="2" t="s">
        <v>80</v>
      </c>
      <c r="J20" s="2" t="s">
        <v>71</v>
      </c>
      <c r="K20" s="2" t="n">
        <f aca="false">IF(AND(EXACT(H20,I20),EXACT(I20,J20)),3,IF(OR(EXACT(H20,I20),EXACT(H20,J20),EXACT(I20,J20)),2,1))</f>
        <v>2</v>
      </c>
      <c r="L20" s="2" t="str">
        <f aca="false">IF(K20=2,IF(EXACT(I20,J20),"ChatGPT",IF(EXACT(H20,J20),"Opus 5","Gemini")),"")</f>
        <v>Opus 5</v>
      </c>
      <c r="M20" s="2" t="s">
        <v>88</v>
      </c>
      <c r="N20" s="2" t="s">
        <v>88</v>
      </c>
      <c r="O20" s="2" t="s">
        <v>150</v>
      </c>
      <c r="P20" s="2" t="n">
        <f aca="false">IF(AND(EXACT(M20,N20),EXACT(N20,O20)),3,IF(OR(EXACT(M20,N20),EXACT(M20,O20),EXACT(N20,O20)),2,1))</f>
        <v>2</v>
      </c>
      <c r="Q20" s="2" t="str">
        <f aca="false">IF(P20=2,IF(EXACT(N20,O20),"ChatGPT",IF(EXACT(M20,O20),"Opus 5","Gemini")),"")</f>
        <v>Gemini</v>
      </c>
      <c r="R20" s="2" t="s">
        <v>89</v>
      </c>
      <c r="S20" s="2" t="s">
        <v>90</v>
      </c>
      <c r="T20" s="2" t="s">
        <v>151</v>
      </c>
      <c r="U20" s="2" t="n">
        <f aca="false">IF(AND(EXACT(R20,S20),EXACT(S20,T20)),3,IF(OR(EXACT(R20,S20),EXACT(R20,T20),EXACT(S20,T20)),2,1))</f>
        <v>1</v>
      </c>
      <c r="V20" s="2" t="str">
        <f aca="false">IF(U20=2,IF(EXACT(S20,T20),"ChatGPT",IF(EXACT(R20,T20),"Opus 5","Gemini")),"")</f>
        <v/>
      </c>
      <c r="W20" s="2" t="n">
        <f aca="false">3-EXACT(B20,C20)-EXACT(B20,D20)-EXACT(B20,E20)</f>
        <v>0</v>
      </c>
      <c r="X20" s="2" t="s">
        <v>91</v>
      </c>
      <c r="Y20" s="2" t="s">
        <v>91</v>
      </c>
      <c r="Z20" s="2" t="s">
        <v>152</v>
      </c>
    </row>
    <row r="21" customFormat="false" ht="15" hidden="false" customHeight="false" outlineLevel="0" collapsed="false">
      <c r="A21" s="2" t="n">
        <v>20</v>
      </c>
      <c r="B21" s="2" t="s">
        <v>153</v>
      </c>
      <c r="C21" s="2" t="s">
        <v>153</v>
      </c>
      <c r="D21" s="2" t="s">
        <v>153</v>
      </c>
      <c r="E21" s="2" t="s">
        <v>153</v>
      </c>
      <c r="F21" s="2" t="n">
        <f aca="false">IF(AND(EXACT(C21,D21),EXACT(D21,E21)),3,IF(OR(EXACT(C21,D21),EXACT(C21,E21),EXACT(D21,E21)),2,1))</f>
        <v>3</v>
      </c>
      <c r="G21" s="2" t="str">
        <f aca="false">IF(F21=2,IF(EXACT(D21,E21),"ChatGPT",IF(EXACT(C21,E21),"Opus 5","Gemini")),"")</f>
        <v/>
      </c>
      <c r="H21" s="2" t="s">
        <v>57</v>
      </c>
      <c r="I21" s="2" t="s">
        <v>80</v>
      </c>
      <c r="J21" s="2" t="s">
        <v>57</v>
      </c>
      <c r="K21" s="2" t="n">
        <f aca="false">IF(AND(EXACT(H21,I21),EXACT(I21,J21)),3,IF(OR(EXACT(H21,I21),EXACT(H21,J21),EXACT(I21,J21)),2,1))</f>
        <v>2</v>
      </c>
      <c r="L21" s="2" t="str">
        <f aca="false">IF(K21=2,IF(EXACT(I21,J21),"ChatGPT",IF(EXACT(H21,J21),"Opus 5","Gemini")),"")</f>
        <v>Opus 5</v>
      </c>
      <c r="M21" s="2" t="s">
        <v>58</v>
      </c>
      <c r="N21" s="2" t="s">
        <v>58</v>
      </c>
      <c r="O21" s="2" t="s">
        <v>73</v>
      </c>
      <c r="P21" s="2" t="n">
        <f aca="false">IF(AND(EXACT(M21,N21),EXACT(N21,O21)),3,IF(OR(EXACT(M21,N21),EXACT(M21,O21),EXACT(N21,O21)),2,1))</f>
        <v>2</v>
      </c>
      <c r="Q21" s="2" t="str">
        <f aca="false">IF(P21=2,IF(EXACT(N21,O21),"ChatGPT",IF(EXACT(M21,O21),"Opus 5","Gemini")),"")</f>
        <v>Gemini</v>
      </c>
      <c r="R21" s="2" t="s">
        <v>66</v>
      </c>
      <c r="S21" s="2" t="s">
        <v>66</v>
      </c>
      <c r="T21" s="2" t="s">
        <v>75</v>
      </c>
      <c r="U21" s="2" t="n">
        <f aca="false">IF(AND(EXACT(R21,S21),EXACT(S21,T21)),3,IF(OR(EXACT(R21,S21),EXACT(R21,T21),EXACT(S21,T21)),2,1))</f>
        <v>2</v>
      </c>
      <c r="V21" s="2" t="str">
        <f aca="false">IF(U21=2,IF(EXACT(S21,T21),"ChatGPT",IF(EXACT(R21,T21),"Opus 5","Gemini")),"")</f>
        <v>Gemini</v>
      </c>
      <c r="W21" s="2" t="n">
        <f aca="false">3-EXACT(B21,C21)-EXACT(B21,D21)-EXACT(B21,E21)</f>
        <v>0</v>
      </c>
      <c r="X21" s="2" t="s">
        <v>154</v>
      </c>
      <c r="Y21" s="2" t="s">
        <v>155</v>
      </c>
      <c r="Z21" s="2" t="s">
        <v>156</v>
      </c>
    </row>
    <row r="22" customFormat="false" ht="15" hidden="false" customHeight="false" outlineLevel="0" collapsed="false">
      <c r="A22" s="2" t="n">
        <v>21</v>
      </c>
      <c r="B22" s="2" t="s">
        <v>157</v>
      </c>
      <c r="C22" s="2" t="s">
        <v>157</v>
      </c>
      <c r="D22" s="2" t="s">
        <v>157</v>
      </c>
      <c r="E22" s="2" t="s">
        <v>157</v>
      </c>
      <c r="F22" s="2" t="n">
        <f aca="false">IF(AND(EXACT(C22,D22),EXACT(D22,E22)),3,IF(OR(EXACT(C22,D22),EXACT(C22,E22),EXACT(D22,E22)),2,1))</f>
        <v>3</v>
      </c>
      <c r="G22" s="2" t="str">
        <f aca="false">IF(F22=2,IF(EXACT(D22,E22),"ChatGPT",IF(EXACT(C22,E22),"Opus 5","Gemini")),"")</f>
        <v/>
      </c>
      <c r="H22" s="2" t="s">
        <v>57</v>
      </c>
      <c r="I22" s="2" t="s">
        <v>57</v>
      </c>
      <c r="J22" s="2" t="s">
        <v>71</v>
      </c>
      <c r="K22" s="2" t="n">
        <f aca="false">IF(AND(EXACT(H22,I22),EXACT(I22,J22)),3,IF(OR(EXACT(H22,I22),EXACT(H22,J22),EXACT(I22,J22)),2,1))</f>
        <v>2</v>
      </c>
      <c r="L22" s="2" t="str">
        <f aca="false">IF(K22=2,IF(EXACT(I22,J22),"ChatGPT",IF(EXACT(H22,J22),"Opus 5","Gemini")),"")</f>
        <v>Gemini</v>
      </c>
      <c r="M22" s="2" t="s">
        <v>58</v>
      </c>
      <c r="N22" s="2" t="s">
        <v>58</v>
      </c>
      <c r="O22" s="2" t="s">
        <v>72</v>
      </c>
      <c r="P22" s="2" t="n">
        <f aca="false">IF(AND(EXACT(M22,N22),EXACT(N22,O22)),3,IF(OR(EXACT(M22,N22),EXACT(M22,O22),EXACT(N22,O22)),2,1))</f>
        <v>2</v>
      </c>
      <c r="Q22" s="2" t="str">
        <f aca="false">IF(P22=2,IF(EXACT(N22,O22),"ChatGPT",IF(EXACT(M22,O22),"Opus 5","Gemini")),"")</f>
        <v>Gemini</v>
      </c>
      <c r="R22" s="2" t="s">
        <v>61</v>
      </c>
      <c r="S22" s="2" t="s">
        <v>66</v>
      </c>
      <c r="T22" s="2" t="s">
        <v>61</v>
      </c>
      <c r="U22" s="2" t="n">
        <f aca="false">IF(AND(EXACT(R22,S22),EXACT(S22,T22)),3,IF(OR(EXACT(R22,S22),EXACT(R22,T22),EXACT(S22,T22)),2,1))</f>
        <v>2</v>
      </c>
      <c r="V22" s="2" t="str">
        <f aca="false">IF(U22=2,IF(EXACT(S22,T22),"ChatGPT",IF(EXACT(R22,T22),"Opus 5","Gemini")),"")</f>
        <v>Opus 5</v>
      </c>
      <c r="W22" s="2" t="n">
        <f aca="false">3-EXACT(B22,C22)-EXACT(B22,D22)-EXACT(B22,E22)</f>
        <v>0</v>
      </c>
      <c r="X22" s="2" t="s">
        <v>158</v>
      </c>
      <c r="Y22" s="2" t="s">
        <v>159</v>
      </c>
      <c r="Z22" s="2" t="s">
        <v>160</v>
      </c>
    </row>
    <row r="23" customFormat="false" ht="15" hidden="false" customHeight="false" outlineLevel="0" collapsed="false">
      <c r="A23" s="2" t="n">
        <v>22</v>
      </c>
      <c r="B23" s="2" t="s">
        <v>161</v>
      </c>
      <c r="C23" s="2" t="s">
        <v>161</v>
      </c>
      <c r="D23" s="2" t="s">
        <v>161</v>
      </c>
      <c r="E23" s="2" t="s">
        <v>161</v>
      </c>
      <c r="F23" s="2" t="n">
        <f aca="false">IF(AND(EXACT(C23,D23),EXACT(D23,E23)),3,IF(OR(EXACT(C23,D23),EXACT(C23,E23),EXACT(D23,E23)),2,1))</f>
        <v>3</v>
      </c>
      <c r="G23" s="2" t="str">
        <f aca="false">IF(F23=2,IF(EXACT(D23,E23),"ChatGPT",IF(EXACT(C23,E23),"Opus 5","Gemini")),"")</f>
        <v/>
      </c>
      <c r="H23" s="2" t="s">
        <v>71</v>
      </c>
      <c r="I23" s="2" t="s">
        <v>80</v>
      </c>
      <c r="J23" s="2" t="s">
        <v>71</v>
      </c>
      <c r="K23" s="2" t="n">
        <f aca="false">IF(AND(EXACT(H23,I23),EXACT(I23,J23)),3,IF(OR(EXACT(H23,I23),EXACT(H23,J23),EXACT(I23,J23)),2,1))</f>
        <v>2</v>
      </c>
      <c r="L23" s="2" t="str">
        <f aca="false">IF(K23=2,IF(EXACT(I23,J23),"ChatGPT",IF(EXACT(H23,J23),"Opus 5","Gemini")),"")</f>
        <v>Opus 5</v>
      </c>
      <c r="M23" s="2" t="s">
        <v>88</v>
      </c>
      <c r="N23" s="2" t="s">
        <v>58</v>
      </c>
      <c r="O23" s="2" t="s">
        <v>114</v>
      </c>
      <c r="P23" s="2" t="n">
        <f aca="false">IF(AND(EXACT(M23,N23),EXACT(N23,O23)),3,IF(OR(EXACT(M23,N23),EXACT(M23,O23),EXACT(N23,O23)),2,1))</f>
        <v>1</v>
      </c>
      <c r="Q23" s="2" t="str">
        <f aca="false">IF(P23=2,IF(EXACT(N23,O23),"ChatGPT",IF(EXACT(M23,O23),"Opus 5","Gemini")),"")</f>
        <v/>
      </c>
      <c r="R23" s="2" t="s">
        <v>89</v>
      </c>
      <c r="S23" s="2" t="s">
        <v>90</v>
      </c>
      <c r="T23" s="2" t="s">
        <v>66</v>
      </c>
      <c r="U23" s="2" t="n">
        <f aca="false">IF(AND(EXACT(R23,S23),EXACT(S23,T23)),3,IF(OR(EXACT(R23,S23),EXACT(R23,T23),EXACT(S23,T23)),2,1))</f>
        <v>1</v>
      </c>
      <c r="V23" s="2" t="str">
        <f aca="false">IF(U23=2,IF(EXACT(S23,T23),"ChatGPT",IF(EXACT(R23,T23),"Opus 5","Gemini")),"")</f>
        <v/>
      </c>
      <c r="W23" s="2" t="n">
        <f aca="false">3-EXACT(B23,C23)-EXACT(B23,D23)-EXACT(B23,E23)</f>
        <v>0</v>
      </c>
      <c r="X23" s="2" t="s">
        <v>162</v>
      </c>
      <c r="Y23" s="2" t="s">
        <v>163</v>
      </c>
      <c r="Z23" s="2" t="s">
        <v>164</v>
      </c>
    </row>
    <row r="24" customFormat="false" ht="15" hidden="false" customHeight="false" outlineLevel="0" collapsed="false">
      <c r="A24" s="2" t="n">
        <v>23</v>
      </c>
      <c r="B24" s="2" t="s">
        <v>165</v>
      </c>
      <c r="C24" s="2" t="s">
        <v>165</v>
      </c>
      <c r="D24" s="2" t="s">
        <v>165</v>
      </c>
      <c r="E24" s="2" t="s">
        <v>165</v>
      </c>
      <c r="F24" s="2" t="n">
        <f aca="false">IF(AND(EXACT(C24,D24),EXACT(D24,E24)),3,IF(OR(EXACT(C24,D24),EXACT(C24,E24),EXACT(D24,E24)),2,1))</f>
        <v>3</v>
      </c>
      <c r="G24" s="2" t="str">
        <f aca="false">IF(F24=2,IF(EXACT(D24,E24),"ChatGPT",IF(EXACT(C24,E24),"Opus 5","Gemini")),"")</f>
        <v/>
      </c>
      <c r="H24" s="2" t="s">
        <v>57</v>
      </c>
      <c r="I24" s="2" t="s">
        <v>57</v>
      </c>
      <c r="J24" s="2" t="s">
        <v>57</v>
      </c>
      <c r="K24" s="2" t="n">
        <f aca="false">IF(AND(EXACT(H24,I24),EXACT(I24,J24)),3,IF(OR(EXACT(H24,I24),EXACT(H24,J24),EXACT(I24,J24)),2,1))</f>
        <v>3</v>
      </c>
      <c r="L24" s="2" t="str">
        <f aca="false">IF(K24=2,IF(EXACT(I24,J24),"ChatGPT",IF(EXACT(H24,J24),"Opus 5","Gemini")),"")</f>
        <v/>
      </c>
      <c r="M24" s="2" t="s">
        <v>58</v>
      </c>
      <c r="N24" s="2" t="s">
        <v>58</v>
      </c>
      <c r="O24" s="2" t="s">
        <v>58</v>
      </c>
      <c r="P24" s="2" t="n">
        <f aca="false">IF(AND(EXACT(M24,N24),EXACT(N24,O24)),3,IF(OR(EXACT(M24,N24),EXACT(M24,O24),EXACT(N24,O24)),2,1))</f>
        <v>3</v>
      </c>
      <c r="Q24" s="2" t="str">
        <f aca="false">IF(P24=2,IF(EXACT(N24,O24),"ChatGPT",IF(EXACT(M24,O24),"Opus 5","Gemini")),"")</f>
        <v/>
      </c>
      <c r="R24" s="2" t="s">
        <v>66</v>
      </c>
      <c r="S24" s="2" t="s">
        <v>61</v>
      </c>
      <c r="T24" s="2" t="s">
        <v>61</v>
      </c>
      <c r="U24" s="2" t="n">
        <f aca="false">IF(AND(EXACT(R24,S24),EXACT(S24,T24)),3,IF(OR(EXACT(R24,S24),EXACT(R24,T24),EXACT(S24,T24)),2,1))</f>
        <v>2</v>
      </c>
      <c r="V24" s="2" t="str">
        <f aca="false">IF(U24=2,IF(EXACT(S24,T24),"ChatGPT",IF(EXACT(R24,T24),"Opus 5","Gemini")),"")</f>
        <v>ChatGPT</v>
      </c>
      <c r="W24" s="2" t="n">
        <f aca="false">3-EXACT(B24,C24)-EXACT(B24,D24)-EXACT(B24,E24)</f>
        <v>0</v>
      </c>
      <c r="X24" s="2" t="s">
        <v>166</v>
      </c>
      <c r="Y24" s="2" t="s">
        <v>167</v>
      </c>
      <c r="Z24" s="2" t="s">
        <v>168</v>
      </c>
    </row>
    <row r="25" customFormat="false" ht="15" hidden="false" customHeight="false" outlineLevel="0" collapsed="false">
      <c r="A25" s="2" t="n">
        <v>24</v>
      </c>
      <c r="B25" s="2" t="s">
        <v>169</v>
      </c>
      <c r="C25" s="2" t="s">
        <v>169</v>
      </c>
      <c r="D25" s="2" t="s">
        <v>169</v>
      </c>
      <c r="E25" s="2" t="s">
        <v>169</v>
      </c>
      <c r="F25" s="2" t="n">
        <f aca="false">IF(AND(EXACT(C25,D25),EXACT(D25,E25)),3,IF(OR(EXACT(C25,D25),EXACT(C25,E25),EXACT(D25,E25)),2,1))</f>
        <v>3</v>
      </c>
      <c r="G25" s="2" t="str">
        <f aca="false">IF(F25=2,IF(EXACT(D25,E25),"ChatGPT",IF(EXACT(C25,E25),"Opus 5","Gemini")),"")</f>
        <v/>
      </c>
      <c r="H25" s="2" t="s">
        <v>57</v>
      </c>
      <c r="I25" s="2" t="s">
        <v>57</v>
      </c>
      <c r="J25" s="2" t="s">
        <v>71</v>
      </c>
      <c r="K25" s="2" t="n">
        <f aca="false">IF(AND(EXACT(H25,I25),EXACT(I25,J25)),3,IF(OR(EXACT(H25,I25),EXACT(H25,J25),EXACT(I25,J25)),2,1))</f>
        <v>2</v>
      </c>
      <c r="L25" s="2" t="str">
        <f aca="false">IF(K25=2,IF(EXACT(I25,J25),"ChatGPT",IF(EXACT(H25,J25),"Opus 5","Gemini")),"")</f>
        <v>Gemini</v>
      </c>
      <c r="M25" s="2" t="s">
        <v>150</v>
      </c>
      <c r="N25" s="2" t="s">
        <v>150</v>
      </c>
      <c r="O25" s="2" t="s">
        <v>58</v>
      </c>
      <c r="P25" s="2" t="n">
        <f aca="false">IF(AND(EXACT(M25,N25),EXACT(N25,O25)),3,IF(OR(EXACT(M25,N25),EXACT(M25,O25),EXACT(N25,O25)),2,1))</f>
        <v>2</v>
      </c>
      <c r="Q25" s="2" t="str">
        <f aca="false">IF(P25=2,IF(EXACT(N25,O25),"ChatGPT",IF(EXACT(M25,O25),"Opus 5","Gemini")),"")</f>
        <v>Gemini</v>
      </c>
      <c r="R25" s="2" t="s">
        <v>151</v>
      </c>
      <c r="S25" s="2" t="s">
        <v>60</v>
      </c>
      <c r="T25" s="2" t="s">
        <v>61</v>
      </c>
      <c r="U25" s="2" t="n">
        <f aca="false">IF(AND(EXACT(R25,S25),EXACT(S25,T25)),3,IF(OR(EXACT(R25,S25),EXACT(R25,T25),EXACT(S25,T25)),2,1))</f>
        <v>1</v>
      </c>
      <c r="V25" s="2" t="str">
        <f aca="false">IF(U25=2,IF(EXACT(S25,T25),"ChatGPT",IF(EXACT(R25,T25),"Opus 5","Gemini")),"")</f>
        <v/>
      </c>
      <c r="W25" s="2" t="n">
        <f aca="false">3-EXACT(B25,C25)-EXACT(B25,D25)-EXACT(B25,E25)</f>
        <v>0</v>
      </c>
      <c r="X25" s="2" t="s">
        <v>170</v>
      </c>
      <c r="Y25" s="2" t="s">
        <v>171</v>
      </c>
      <c r="Z25" s="2" t="s">
        <v>172</v>
      </c>
    </row>
    <row r="26" customFormat="false" ht="15" hidden="false" customHeight="false" outlineLevel="0" collapsed="false">
      <c r="A26" s="2" t="n">
        <v>25</v>
      </c>
      <c r="B26" s="2" t="s">
        <v>173</v>
      </c>
      <c r="C26" s="2" t="s">
        <v>173</v>
      </c>
      <c r="D26" s="2" t="s">
        <v>173</v>
      </c>
      <c r="E26" s="2" t="s">
        <v>173</v>
      </c>
      <c r="F26" s="2" t="n">
        <f aca="false">IF(AND(EXACT(C26,D26),EXACT(D26,E26)),3,IF(OR(EXACT(C26,D26),EXACT(C26,E26),EXACT(D26,E26)),2,1))</f>
        <v>3</v>
      </c>
      <c r="G26" s="2" t="str">
        <f aca="false">IF(F26=2,IF(EXACT(D26,E26),"ChatGPT",IF(EXACT(C26,E26),"Opus 5","Gemini")),"")</f>
        <v/>
      </c>
      <c r="H26" s="2" t="s">
        <v>57</v>
      </c>
      <c r="I26" s="2" t="s">
        <v>80</v>
      </c>
      <c r="J26" s="2" t="s">
        <v>71</v>
      </c>
      <c r="K26" s="2" t="n">
        <f aca="false">IF(AND(EXACT(H26,I26),EXACT(I26,J26)),3,IF(OR(EXACT(H26,I26),EXACT(H26,J26),EXACT(I26,J26)),2,1))</f>
        <v>1</v>
      </c>
      <c r="L26" s="2" t="str">
        <f aca="false">IF(K26=2,IF(EXACT(I26,J26),"ChatGPT",IF(EXACT(H26,J26),"Opus 5","Gemini")),"")</f>
        <v/>
      </c>
      <c r="M26" s="2" t="s">
        <v>72</v>
      </c>
      <c r="N26" s="2" t="s">
        <v>88</v>
      </c>
      <c r="O26" s="2" t="s">
        <v>88</v>
      </c>
      <c r="P26" s="2" t="n">
        <f aca="false">IF(AND(EXACT(M26,N26),EXACT(N26,O26)),3,IF(OR(EXACT(M26,N26),EXACT(M26,O26),EXACT(N26,O26)),2,1))</f>
        <v>2</v>
      </c>
      <c r="Q26" s="2" t="str">
        <f aca="false">IF(P26=2,IF(EXACT(N26,O26),"ChatGPT",IF(EXACT(M26,O26),"Opus 5","Gemini")),"")</f>
        <v>ChatGPT</v>
      </c>
      <c r="R26" s="2" t="s">
        <v>74</v>
      </c>
      <c r="S26" s="2" t="s">
        <v>90</v>
      </c>
      <c r="T26" s="2" t="s">
        <v>89</v>
      </c>
      <c r="U26" s="2" t="n">
        <f aca="false">IF(AND(EXACT(R26,S26),EXACT(S26,T26)),3,IF(OR(EXACT(R26,S26),EXACT(R26,T26),EXACT(S26,T26)),2,1))</f>
        <v>1</v>
      </c>
      <c r="V26" s="2" t="str">
        <f aca="false">IF(U26=2,IF(EXACT(S26,T26),"ChatGPT",IF(EXACT(R26,T26),"Opus 5","Gemini")),"")</f>
        <v/>
      </c>
      <c r="W26" s="2" t="n">
        <f aca="false">3-EXACT(B26,C26)-EXACT(B26,D26)-EXACT(B26,E26)</f>
        <v>0</v>
      </c>
      <c r="X26" s="2" t="s">
        <v>174</v>
      </c>
      <c r="Y26" s="2" t="s">
        <v>175</v>
      </c>
      <c r="Z26" s="2" t="s">
        <v>91</v>
      </c>
    </row>
    <row r="27" customFormat="false" ht="15" hidden="false" customHeight="false" outlineLevel="0" collapsed="false">
      <c r="A27" s="2" t="n">
        <v>26</v>
      </c>
      <c r="B27" s="2" t="s">
        <v>176</v>
      </c>
      <c r="C27" s="2" t="s">
        <v>177</v>
      </c>
      <c r="D27" s="2" t="s">
        <v>177</v>
      </c>
      <c r="E27" s="2" t="s">
        <v>176</v>
      </c>
      <c r="F27" s="2" t="n">
        <f aca="false">IF(AND(EXACT(C27,D27),EXACT(D27,E27)),3,IF(OR(EXACT(C27,D27),EXACT(C27,E27),EXACT(D27,E27)),2,1))</f>
        <v>2</v>
      </c>
      <c r="G27" s="2" t="str">
        <f aca="false">IF(F27=2,IF(EXACT(D27,E27),"ChatGPT",IF(EXACT(C27,E27),"Opus 5","Gemini")),"")</f>
        <v>Gemini</v>
      </c>
      <c r="H27" s="2" t="s">
        <v>56</v>
      </c>
      <c r="I27" s="2" t="s">
        <v>56</v>
      </c>
      <c r="J27" s="2" t="s">
        <v>57</v>
      </c>
      <c r="K27" s="2" t="n">
        <f aca="false">IF(AND(EXACT(H27,I27),EXACT(I27,J27)),3,IF(OR(EXACT(H27,I27),EXACT(H27,J27),EXACT(I27,J27)),2,1))</f>
        <v>2</v>
      </c>
      <c r="L27" s="2" t="str">
        <f aca="false">IF(K27=2,IF(EXACT(I27,J27),"ChatGPT",IF(EXACT(H27,J27),"Opus 5","Gemini")),"")</f>
        <v>Gemini</v>
      </c>
      <c r="M27" s="2" t="s">
        <v>114</v>
      </c>
      <c r="N27" s="2" t="s">
        <v>58</v>
      </c>
      <c r="O27" s="2" t="s">
        <v>72</v>
      </c>
      <c r="P27" s="2" t="n">
        <f aca="false">IF(AND(EXACT(M27,N27),EXACT(N27,O27)),3,IF(OR(EXACT(M27,N27),EXACT(M27,O27),EXACT(N27,O27)),2,1))</f>
        <v>1</v>
      </c>
      <c r="Q27" s="2" t="str">
        <f aca="false">IF(P27=2,IF(EXACT(N27,O27),"ChatGPT",IF(EXACT(M27,O27),"Opus 5","Gemini")),"")</f>
        <v/>
      </c>
      <c r="R27" s="2" t="s">
        <v>59</v>
      </c>
      <c r="S27" s="2" t="s">
        <v>59</v>
      </c>
      <c r="T27" s="2" t="s">
        <v>74</v>
      </c>
      <c r="U27" s="2" t="n">
        <f aca="false">IF(AND(EXACT(R27,S27),EXACT(S27,T27)),3,IF(OR(EXACT(R27,S27),EXACT(R27,T27),EXACT(S27,T27)),2,1))</f>
        <v>2</v>
      </c>
      <c r="V27" s="2" t="str">
        <f aca="false">IF(U27=2,IF(EXACT(S27,T27),"ChatGPT",IF(EXACT(R27,T27),"Opus 5","Gemini")),"")</f>
        <v>Gemini</v>
      </c>
      <c r="W27" s="2" t="n">
        <f aca="false">3-EXACT(B27,C27)-EXACT(B27,D27)-EXACT(B27,E27)</f>
        <v>2</v>
      </c>
      <c r="X27" s="2" t="s">
        <v>178</v>
      </c>
      <c r="Y27" s="2" t="s">
        <v>179</v>
      </c>
      <c r="Z27" s="2" t="s">
        <v>180</v>
      </c>
    </row>
    <row r="28" customFormat="false" ht="15" hidden="false" customHeight="false" outlineLevel="0" collapsed="false">
      <c r="A28" s="2" t="n">
        <v>27</v>
      </c>
      <c r="B28" s="2" t="s">
        <v>181</v>
      </c>
      <c r="C28" s="2" t="s">
        <v>182</v>
      </c>
      <c r="D28" s="2" t="s">
        <v>181</v>
      </c>
      <c r="E28" s="2" t="s">
        <v>183</v>
      </c>
      <c r="F28" s="2" t="n">
        <f aca="false">IF(AND(EXACT(C28,D28),EXACT(D28,E28)),3,IF(OR(EXACT(C28,D28),EXACT(C28,E28),EXACT(D28,E28)),2,1))</f>
        <v>1</v>
      </c>
      <c r="G28" s="2" t="str">
        <f aca="false">IF(F28=2,IF(EXACT(D28,E28),"ChatGPT",IF(EXACT(C28,E28),"Opus 5","Gemini")),"")</f>
        <v/>
      </c>
      <c r="H28" s="2" t="s">
        <v>56</v>
      </c>
      <c r="I28" s="2" t="s">
        <v>57</v>
      </c>
      <c r="J28" s="2" t="s">
        <v>56</v>
      </c>
      <c r="K28" s="2" t="n">
        <f aca="false">IF(AND(EXACT(H28,I28),EXACT(I28,J28)),3,IF(OR(EXACT(H28,I28),EXACT(H28,J28),EXACT(I28,J28)),2,1))</f>
        <v>2</v>
      </c>
      <c r="L28" s="2" t="str">
        <f aca="false">IF(K28=2,IF(EXACT(I28,J28),"ChatGPT",IF(EXACT(H28,J28),"Opus 5","Gemini")),"")</f>
        <v>Opus 5</v>
      </c>
      <c r="M28" s="2" t="s">
        <v>114</v>
      </c>
      <c r="N28" s="2" t="s">
        <v>88</v>
      </c>
      <c r="O28" s="2" t="s">
        <v>58</v>
      </c>
      <c r="P28" s="2" t="n">
        <f aca="false">IF(AND(EXACT(M28,N28),EXACT(N28,O28)),3,IF(OR(EXACT(M28,N28),EXACT(M28,O28),EXACT(N28,O28)),2,1))</f>
        <v>1</v>
      </c>
      <c r="Q28" s="2" t="str">
        <f aca="false">IF(P28=2,IF(EXACT(N28,O28),"ChatGPT",IF(EXACT(M28,O28),"Opus 5","Gemini")),"")</f>
        <v/>
      </c>
      <c r="R28" s="2" t="s">
        <v>59</v>
      </c>
      <c r="S28" s="2" t="s">
        <v>60</v>
      </c>
      <c r="T28" s="2" t="s">
        <v>120</v>
      </c>
      <c r="U28" s="2" t="n">
        <f aca="false">IF(AND(EXACT(R28,S28),EXACT(S28,T28)),3,IF(OR(EXACT(R28,S28),EXACT(R28,T28),EXACT(S28,T28)),2,1))</f>
        <v>1</v>
      </c>
      <c r="V28" s="2" t="str">
        <f aca="false">IF(U28=2,IF(EXACT(S28,T28),"ChatGPT",IF(EXACT(R28,T28),"Opus 5","Gemini")),"")</f>
        <v/>
      </c>
      <c r="W28" s="2" t="n">
        <f aca="false">3-EXACT(B28,C28)-EXACT(B28,D28)-EXACT(B28,E28)</f>
        <v>2</v>
      </c>
      <c r="X28" s="2" t="s">
        <v>184</v>
      </c>
      <c r="Y28" s="2" t="s">
        <v>91</v>
      </c>
      <c r="Z28" s="2" t="s">
        <v>185</v>
      </c>
    </row>
    <row r="29" customFormat="false" ht="15" hidden="false" customHeight="false" outlineLevel="0" collapsed="false">
      <c r="A29" s="2" t="n">
        <v>28</v>
      </c>
      <c r="B29" s="2" t="s">
        <v>186</v>
      </c>
      <c r="C29" s="2" t="s">
        <v>186</v>
      </c>
      <c r="D29" s="2" t="s">
        <v>186</v>
      </c>
      <c r="E29" s="2" t="s">
        <v>186</v>
      </c>
      <c r="F29" s="2" t="n">
        <f aca="false">IF(AND(EXACT(C29,D29),EXACT(D29,E29)),3,IF(OR(EXACT(C29,D29),EXACT(C29,E29),EXACT(D29,E29)),2,1))</f>
        <v>3</v>
      </c>
      <c r="G29" s="2" t="str">
        <f aca="false">IF(F29=2,IF(EXACT(D29,E29),"ChatGPT",IF(EXACT(C29,E29),"Opus 5","Gemini")),"")</f>
        <v/>
      </c>
      <c r="H29" s="2" t="s">
        <v>57</v>
      </c>
      <c r="I29" s="2" t="s">
        <v>57</v>
      </c>
      <c r="J29" s="2" t="s">
        <v>71</v>
      </c>
      <c r="K29" s="2" t="n">
        <f aca="false">IF(AND(EXACT(H29,I29),EXACT(I29,J29)),3,IF(OR(EXACT(H29,I29),EXACT(H29,J29),EXACT(I29,J29)),2,1))</f>
        <v>2</v>
      </c>
      <c r="L29" s="2" t="str">
        <f aca="false">IF(K29=2,IF(EXACT(I29,J29),"ChatGPT",IF(EXACT(H29,J29),"Opus 5","Gemini")),"")</f>
        <v>Gemini</v>
      </c>
      <c r="M29" s="2" t="s">
        <v>114</v>
      </c>
      <c r="N29" s="2" t="s">
        <v>58</v>
      </c>
      <c r="O29" s="2" t="s">
        <v>114</v>
      </c>
      <c r="P29" s="2" t="n">
        <f aca="false">IF(AND(EXACT(M29,N29),EXACT(N29,O29)),3,IF(OR(EXACT(M29,N29),EXACT(M29,O29),EXACT(N29,O29)),2,1))</f>
        <v>2</v>
      </c>
      <c r="Q29" s="2" t="str">
        <f aca="false">IF(P29=2,IF(EXACT(N29,O29),"ChatGPT",IF(EXACT(M29,O29),"Opus 5","Gemini")),"")</f>
        <v>Opus 5</v>
      </c>
      <c r="R29" s="2" t="s">
        <v>66</v>
      </c>
      <c r="S29" s="2" t="s">
        <v>66</v>
      </c>
      <c r="T29" s="2" t="s">
        <v>66</v>
      </c>
      <c r="U29" s="2" t="n">
        <f aca="false">IF(AND(EXACT(R29,S29),EXACT(S29,T29)),3,IF(OR(EXACT(R29,S29),EXACT(R29,T29),EXACT(S29,T29)),2,1))</f>
        <v>3</v>
      </c>
      <c r="V29" s="2" t="str">
        <f aca="false">IF(U29=2,IF(EXACT(S29,T29),"ChatGPT",IF(EXACT(R29,T29),"Opus 5","Gemini")),"")</f>
        <v/>
      </c>
      <c r="W29" s="2" t="n">
        <f aca="false">3-EXACT(B29,C29)-EXACT(B29,D29)-EXACT(B29,E29)</f>
        <v>0</v>
      </c>
      <c r="X29" s="2" t="s">
        <v>187</v>
      </c>
      <c r="Y29" s="2" t="s">
        <v>179</v>
      </c>
      <c r="Z29" s="2" t="s">
        <v>179</v>
      </c>
    </row>
    <row r="30" customFormat="false" ht="15" hidden="false" customHeight="false" outlineLevel="0" collapsed="false">
      <c r="A30" s="2" t="n">
        <v>29</v>
      </c>
      <c r="B30" s="2" t="s">
        <v>188</v>
      </c>
      <c r="C30" s="2" t="s">
        <v>189</v>
      </c>
      <c r="D30" s="2" t="s">
        <v>189</v>
      </c>
      <c r="E30" s="2" t="s">
        <v>188</v>
      </c>
      <c r="F30" s="2" t="n">
        <f aca="false">IF(AND(EXACT(C30,D30),EXACT(D30,E30)),3,IF(OR(EXACT(C30,D30),EXACT(C30,E30),EXACT(D30,E30)),2,1))</f>
        <v>2</v>
      </c>
      <c r="G30" s="2" t="str">
        <f aca="false">IF(F30=2,IF(EXACT(D30,E30),"ChatGPT",IF(EXACT(C30,E30),"Opus 5","Gemini")),"")</f>
        <v>Gemini</v>
      </c>
      <c r="H30" s="2" t="s">
        <v>56</v>
      </c>
      <c r="I30" s="2" t="s">
        <v>56</v>
      </c>
      <c r="J30" s="2" t="s">
        <v>57</v>
      </c>
      <c r="K30" s="2" t="n">
        <f aca="false">IF(AND(EXACT(H30,I30),EXACT(I30,J30)),3,IF(OR(EXACT(H30,I30),EXACT(H30,J30),EXACT(I30,J30)),2,1))</f>
        <v>2</v>
      </c>
      <c r="L30" s="2" t="str">
        <f aca="false">IF(K30=2,IF(EXACT(I30,J30),"ChatGPT",IF(EXACT(H30,J30),"Opus 5","Gemini")),"")</f>
        <v>Gemini</v>
      </c>
      <c r="M30" s="2" t="s">
        <v>58</v>
      </c>
      <c r="N30" s="2" t="s">
        <v>58</v>
      </c>
      <c r="O30" s="2" t="s">
        <v>58</v>
      </c>
      <c r="P30" s="2" t="n">
        <f aca="false">IF(AND(EXACT(M30,N30),EXACT(N30,O30)),3,IF(OR(EXACT(M30,N30),EXACT(M30,O30),EXACT(N30,O30)),2,1))</f>
        <v>3</v>
      </c>
      <c r="Q30" s="2" t="str">
        <f aca="false">IF(P30=2,IF(EXACT(N30,O30),"ChatGPT",IF(EXACT(M30,O30),"Opus 5","Gemini")),"")</f>
        <v/>
      </c>
      <c r="R30" s="2" t="s">
        <v>59</v>
      </c>
      <c r="S30" s="2" t="s">
        <v>81</v>
      </c>
      <c r="T30" s="2" t="s">
        <v>61</v>
      </c>
      <c r="U30" s="2" t="n">
        <f aca="false">IF(AND(EXACT(R30,S30),EXACT(S30,T30)),3,IF(OR(EXACT(R30,S30),EXACT(R30,T30),EXACT(S30,T30)),2,1))</f>
        <v>1</v>
      </c>
      <c r="V30" s="2" t="str">
        <f aca="false">IF(U30=2,IF(EXACT(S30,T30),"ChatGPT",IF(EXACT(R30,T30),"Opus 5","Gemini")),"")</f>
        <v/>
      </c>
      <c r="W30" s="2" t="n">
        <f aca="false">3-EXACT(B30,C30)-EXACT(B30,D30)-EXACT(B30,E30)</f>
        <v>2</v>
      </c>
      <c r="X30" s="2" t="s">
        <v>190</v>
      </c>
      <c r="Y30" s="2" t="s">
        <v>191</v>
      </c>
      <c r="Z30" s="2" t="s">
        <v>192</v>
      </c>
    </row>
    <row r="31" customFormat="false" ht="15" hidden="false" customHeight="false" outlineLevel="0" collapsed="false">
      <c r="A31" s="2" t="n">
        <v>30</v>
      </c>
      <c r="B31" s="2" t="s">
        <v>193</v>
      </c>
      <c r="C31" s="2" t="s">
        <v>193</v>
      </c>
      <c r="D31" s="2" t="s">
        <v>193</v>
      </c>
      <c r="E31" s="2" t="s">
        <v>193</v>
      </c>
      <c r="F31" s="2" t="n">
        <f aca="false">IF(AND(EXACT(C31,D31),EXACT(D31,E31)),3,IF(OR(EXACT(C31,D31),EXACT(C31,E31),EXACT(D31,E31)),2,1))</f>
        <v>3</v>
      </c>
      <c r="G31" s="2" t="str">
        <f aca="false">IF(F31=2,IF(EXACT(D31,E31),"ChatGPT",IF(EXACT(C31,E31),"Opus 5","Gemini")),"")</f>
        <v/>
      </c>
      <c r="H31" s="2" t="s">
        <v>57</v>
      </c>
      <c r="I31" s="2" t="s">
        <v>57</v>
      </c>
      <c r="J31" s="2" t="s">
        <v>71</v>
      </c>
      <c r="K31" s="2" t="n">
        <f aca="false">IF(AND(EXACT(H31,I31),EXACT(I31,J31)),3,IF(OR(EXACT(H31,I31),EXACT(H31,J31),EXACT(I31,J31)),2,1))</f>
        <v>2</v>
      </c>
      <c r="L31" s="2" t="str">
        <f aca="false">IF(K31=2,IF(EXACT(I31,J31),"ChatGPT",IF(EXACT(H31,J31),"Opus 5","Gemini")),"")</f>
        <v>Gemini</v>
      </c>
      <c r="M31" s="2" t="s">
        <v>58</v>
      </c>
      <c r="N31" s="2" t="s">
        <v>58</v>
      </c>
      <c r="O31" s="2" t="s">
        <v>114</v>
      </c>
      <c r="P31" s="2" t="n">
        <f aca="false">IF(AND(EXACT(M31,N31),EXACT(N31,O31)),3,IF(OR(EXACT(M31,N31),EXACT(M31,O31),EXACT(N31,O31)),2,1))</f>
        <v>2</v>
      </c>
      <c r="Q31" s="2" t="str">
        <f aca="false">IF(P31=2,IF(EXACT(N31,O31),"ChatGPT",IF(EXACT(M31,O31),"Opus 5","Gemini")),"")</f>
        <v>Gemini</v>
      </c>
      <c r="R31" s="2" t="s">
        <v>61</v>
      </c>
      <c r="S31" s="2" t="s">
        <v>60</v>
      </c>
      <c r="T31" s="2" t="s">
        <v>66</v>
      </c>
      <c r="U31" s="2" t="n">
        <f aca="false">IF(AND(EXACT(R31,S31),EXACT(S31,T31)),3,IF(OR(EXACT(R31,S31),EXACT(R31,T31),EXACT(S31,T31)),2,1))</f>
        <v>1</v>
      </c>
      <c r="V31" s="2" t="str">
        <f aca="false">IF(U31=2,IF(EXACT(S31,T31),"ChatGPT",IF(EXACT(R31,T31),"Opus 5","Gemini")),"")</f>
        <v/>
      </c>
      <c r="W31" s="2" t="n">
        <f aca="false">3-EXACT(B31,C31)-EXACT(B31,D31)-EXACT(B31,E31)</f>
        <v>0</v>
      </c>
      <c r="X31" s="2" t="s">
        <v>194</v>
      </c>
      <c r="Y31" s="2" t="s">
        <v>195</v>
      </c>
      <c r="Z31" s="2" t="s">
        <v>196</v>
      </c>
    </row>
    <row r="32" customFormat="false" ht="15" hidden="false" customHeight="false" outlineLevel="0" collapsed="false">
      <c r="A32" s="2" t="n">
        <v>31</v>
      </c>
      <c r="B32" s="2" t="s">
        <v>197</v>
      </c>
      <c r="C32" s="2" t="s">
        <v>198</v>
      </c>
      <c r="D32" s="2" t="s">
        <v>197</v>
      </c>
      <c r="E32" s="2" t="s">
        <v>198</v>
      </c>
      <c r="F32" s="2" t="n">
        <f aca="false">IF(AND(EXACT(C32,D32),EXACT(D32,E32)),3,IF(OR(EXACT(C32,D32),EXACT(C32,E32),EXACT(D32,E32)),2,1))</f>
        <v>2</v>
      </c>
      <c r="G32" s="2" t="str">
        <f aca="false">IF(F32=2,IF(EXACT(D32,E32),"ChatGPT",IF(EXACT(C32,E32),"Opus 5","Gemini")),"")</f>
        <v>Opus 5</v>
      </c>
      <c r="H32" s="2" t="s">
        <v>56</v>
      </c>
      <c r="I32" s="2" t="s">
        <v>57</v>
      </c>
      <c r="J32" s="2" t="s">
        <v>56</v>
      </c>
      <c r="K32" s="2" t="n">
        <f aca="false">IF(AND(EXACT(H32,I32),EXACT(I32,J32)),3,IF(OR(EXACT(H32,I32),EXACT(H32,J32),EXACT(I32,J32)),2,1))</f>
        <v>2</v>
      </c>
      <c r="L32" s="2" t="str">
        <f aca="false">IF(K32=2,IF(EXACT(I32,J32),"ChatGPT",IF(EXACT(H32,J32),"Opus 5","Gemini")),"")</f>
        <v>Opus 5</v>
      </c>
      <c r="M32" s="2" t="s">
        <v>58</v>
      </c>
      <c r="N32" s="2" t="s">
        <v>58</v>
      </c>
      <c r="O32" s="2" t="s">
        <v>58</v>
      </c>
      <c r="P32" s="2" t="n">
        <f aca="false">IF(AND(EXACT(M32,N32),EXACT(N32,O32)),3,IF(OR(EXACT(M32,N32),EXACT(M32,O32),EXACT(N32,O32)),2,1))</f>
        <v>3</v>
      </c>
      <c r="Q32" s="2" t="str">
        <f aca="false">IF(P32=2,IF(EXACT(N32,O32),"ChatGPT",IF(EXACT(M32,O32),"Opus 5","Gemini")),"")</f>
        <v/>
      </c>
      <c r="R32" s="2" t="s">
        <v>59</v>
      </c>
      <c r="S32" s="2" t="s">
        <v>66</v>
      </c>
      <c r="T32" s="2" t="s">
        <v>61</v>
      </c>
      <c r="U32" s="2" t="n">
        <f aca="false">IF(AND(EXACT(R32,S32),EXACT(S32,T32)),3,IF(OR(EXACT(R32,S32),EXACT(R32,T32),EXACT(S32,T32)),2,1))</f>
        <v>1</v>
      </c>
      <c r="V32" s="2" t="str">
        <f aca="false">IF(U32=2,IF(EXACT(S32,T32),"ChatGPT",IF(EXACT(R32,T32),"Opus 5","Gemini")),"")</f>
        <v/>
      </c>
      <c r="W32" s="2" t="n">
        <f aca="false">3-EXACT(B32,C32)-EXACT(B32,D32)-EXACT(B32,E32)</f>
        <v>2</v>
      </c>
      <c r="X32" s="2" t="s">
        <v>199</v>
      </c>
      <c r="Y32" s="2" t="s">
        <v>200</v>
      </c>
      <c r="Z32" s="2" t="s">
        <v>201</v>
      </c>
    </row>
    <row r="33" customFormat="false" ht="15" hidden="false" customHeight="false" outlineLevel="0" collapsed="false">
      <c r="A33" s="2" t="n">
        <v>32</v>
      </c>
      <c r="B33" s="2" t="s">
        <v>202</v>
      </c>
      <c r="C33" s="2" t="s">
        <v>202</v>
      </c>
      <c r="D33" s="2" t="s">
        <v>202</v>
      </c>
      <c r="E33" s="2" t="s">
        <v>202</v>
      </c>
      <c r="F33" s="2" t="n">
        <f aca="false">IF(AND(EXACT(C33,D33),EXACT(D33,E33)),3,IF(OR(EXACT(C33,D33),EXACT(C33,E33),EXACT(D33,E33)),2,1))</f>
        <v>3</v>
      </c>
      <c r="G33" s="2" t="str">
        <f aca="false">IF(F33=2,IF(EXACT(D33,E33),"ChatGPT",IF(EXACT(C33,E33),"Opus 5","Gemini")),"")</f>
        <v/>
      </c>
      <c r="H33" s="2" t="s">
        <v>57</v>
      </c>
      <c r="I33" s="2" t="s">
        <v>80</v>
      </c>
      <c r="J33" s="2" t="s">
        <v>71</v>
      </c>
      <c r="K33" s="2" t="n">
        <f aca="false">IF(AND(EXACT(H33,I33),EXACT(I33,J33)),3,IF(OR(EXACT(H33,I33),EXACT(H33,J33),EXACT(I33,J33)),2,1))</f>
        <v>1</v>
      </c>
      <c r="L33" s="2" t="str">
        <f aca="false">IF(K33=2,IF(EXACT(I33,J33),"ChatGPT",IF(EXACT(H33,J33),"Opus 5","Gemini")),"")</f>
        <v/>
      </c>
      <c r="M33" s="2" t="s">
        <v>72</v>
      </c>
      <c r="N33" s="2" t="s">
        <v>72</v>
      </c>
      <c r="O33" s="2" t="s">
        <v>73</v>
      </c>
      <c r="P33" s="2" t="n">
        <f aca="false">IF(AND(EXACT(M33,N33),EXACT(N33,O33)),3,IF(OR(EXACT(M33,N33),EXACT(M33,O33),EXACT(N33,O33)),2,1))</f>
        <v>2</v>
      </c>
      <c r="Q33" s="2" t="str">
        <f aca="false">IF(P33=2,IF(EXACT(N33,O33),"ChatGPT",IF(EXACT(M33,O33),"Opus 5","Gemini")),"")</f>
        <v>Gemini</v>
      </c>
      <c r="R33" s="2" t="s">
        <v>74</v>
      </c>
      <c r="S33" s="2" t="s">
        <v>81</v>
      </c>
      <c r="T33" s="2" t="s">
        <v>75</v>
      </c>
      <c r="U33" s="2" t="n">
        <f aca="false">IF(AND(EXACT(R33,S33),EXACT(S33,T33)),3,IF(OR(EXACT(R33,S33),EXACT(R33,T33),EXACT(S33,T33)),2,1))</f>
        <v>1</v>
      </c>
      <c r="V33" s="2" t="str">
        <f aca="false">IF(U33=2,IF(EXACT(S33,T33),"ChatGPT",IF(EXACT(R33,T33),"Opus 5","Gemini")),"")</f>
        <v/>
      </c>
      <c r="W33" s="2" t="n">
        <f aca="false">3-EXACT(B33,C33)-EXACT(B33,D33)-EXACT(B33,E33)</f>
        <v>0</v>
      </c>
      <c r="X33" s="2" t="s">
        <v>203</v>
      </c>
      <c r="Y33" s="2" t="s">
        <v>204</v>
      </c>
      <c r="Z33" s="2" t="s">
        <v>205</v>
      </c>
    </row>
    <row r="34" customFormat="false" ht="15" hidden="false" customHeight="false" outlineLevel="0" collapsed="false">
      <c r="A34" s="2" t="n">
        <v>33</v>
      </c>
      <c r="B34" s="2" t="s">
        <v>206</v>
      </c>
      <c r="C34" s="2" t="s">
        <v>206</v>
      </c>
      <c r="D34" s="2" t="s">
        <v>206</v>
      </c>
      <c r="E34" s="2" t="s">
        <v>206</v>
      </c>
      <c r="F34" s="2" t="n">
        <f aca="false">IF(AND(EXACT(C34,D34),EXACT(D34,E34)),3,IF(OR(EXACT(C34,D34),EXACT(C34,E34),EXACT(D34,E34)),2,1))</f>
        <v>3</v>
      </c>
      <c r="G34" s="2" t="str">
        <f aca="false">IF(F34=2,IF(EXACT(D34,E34),"ChatGPT",IF(EXACT(C34,E34),"Opus 5","Gemini")),"")</f>
        <v/>
      </c>
      <c r="H34" s="2" t="s">
        <v>71</v>
      </c>
      <c r="I34" s="2" t="s">
        <v>57</v>
      </c>
      <c r="J34" s="2" t="s">
        <v>71</v>
      </c>
      <c r="K34" s="2" t="n">
        <f aca="false">IF(AND(EXACT(H34,I34),EXACT(I34,J34)),3,IF(OR(EXACT(H34,I34),EXACT(H34,J34),EXACT(I34,J34)),2,1))</f>
        <v>2</v>
      </c>
      <c r="L34" s="2" t="str">
        <f aca="false">IF(K34=2,IF(EXACT(I34,J34),"ChatGPT",IF(EXACT(H34,J34),"Opus 5","Gemini")),"")</f>
        <v>Opus 5</v>
      </c>
      <c r="M34" s="2" t="s">
        <v>88</v>
      </c>
      <c r="N34" s="2" t="s">
        <v>114</v>
      </c>
      <c r="O34" s="2" t="s">
        <v>114</v>
      </c>
      <c r="P34" s="2" t="n">
        <f aca="false">IF(AND(EXACT(M34,N34),EXACT(N34,O34)),3,IF(OR(EXACT(M34,N34),EXACT(M34,O34),EXACT(N34,O34)),2,1))</f>
        <v>2</v>
      </c>
      <c r="Q34" s="2" t="str">
        <f aca="false">IF(P34=2,IF(EXACT(N34,O34),"ChatGPT",IF(EXACT(M34,O34),"Opus 5","Gemini")),"")</f>
        <v>ChatGPT</v>
      </c>
      <c r="R34" s="2" t="s">
        <v>89</v>
      </c>
      <c r="S34" s="2" t="s">
        <v>66</v>
      </c>
      <c r="T34" s="2" t="s">
        <v>66</v>
      </c>
      <c r="U34" s="2" t="n">
        <f aca="false">IF(AND(EXACT(R34,S34),EXACT(S34,T34)),3,IF(OR(EXACT(R34,S34),EXACT(R34,T34),EXACT(S34,T34)),2,1))</f>
        <v>2</v>
      </c>
      <c r="V34" s="2" t="str">
        <f aca="false">IF(U34=2,IF(EXACT(S34,T34),"ChatGPT",IF(EXACT(R34,T34),"Opus 5","Gemini")),"")</f>
        <v>ChatGPT</v>
      </c>
      <c r="W34" s="2" t="n">
        <f aca="false">3-EXACT(B34,C34)-EXACT(B34,D34)-EXACT(B34,E34)</f>
        <v>0</v>
      </c>
      <c r="X34" s="2" t="s">
        <v>91</v>
      </c>
      <c r="Y34" s="2" t="s">
        <v>207</v>
      </c>
      <c r="Z34" s="2" t="s">
        <v>208</v>
      </c>
    </row>
    <row r="35" customFormat="false" ht="15" hidden="false" customHeight="false" outlineLevel="0" collapsed="false">
      <c r="A35" s="2" t="n">
        <v>34</v>
      </c>
      <c r="B35" s="2" t="s">
        <v>209</v>
      </c>
      <c r="C35" s="2" t="s">
        <v>210</v>
      </c>
      <c r="D35" s="2" t="s">
        <v>209</v>
      </c>
      <c r="E35" s="2" t="s">
        <v>210</v>
      </c>
      <c r="F35" s="2" t="n">
        <f aca="false">IF(AND(EXACT(C35,D35),EXACT(D35,E35)),3,IF(OR(EXACT(C35,D35),EXACT(C35,E35),EXACT(D35,E35)),2,1))</f>
        <v>2</v>
      </c>
      <c r="G35" s="2" t="str">
        <f aca="false">IF(F35=2,IF(EXACT(D35,E35),"ChatGPT",IF(EXACT(C35,E35),"Opus 5","Gemini")),"")</f>
        <v>Opus 5</v>
      </c>
      <c r="H35" s="2" t="s">
        <v>56</v>
      </c>
      <c r="I35" s="2" t="s">
        <v>80</v>
      </c>
      <c r="J35" s="2" t="s">
        <v>56</v>
      </c>
      <c r="K35" s="2" t="n">
        <f aca="false">IF(AND(EXACT(H35,I35),EXACT(I35,J35)),3,IF(OR(EXACT(H35,I35),EXACT(H35,J35),EXACT(I35,J35)),2,1))</f>
        <v>2</v>
      </c>
      <c r="L35" s="2" t="str">
        <f aca="false">IF(K35=2,IF(EXACT(I35,J35),"ChatGPT",IF(EXACT(H35,J35),"Opus 5","Gemini")),"")</f>
        <v>Opus 5</v>
      </c>
      <c r="M35" s="2" t="s">
        <v>72</v>
      </c>
      <c r="N35" s="2" t="s">
        <v>114</v>
      </c>
      <c r="O35" s="2" t="s">
        <v>114</v>
      </c>
      <c r="P35" s="2" t="n">
        <f aca="false">IF(AND(EXACT(M35,N35),EXACT(N35,O35)),3,IF(OR(EXACT(M35,N35),EXACT(M35,O35),EXACT(N35,O35)),2,1))</f>
        <v>2</v>
      </c>
      <c r="Q35" s="2" t="str">
        <f aca="false">IF(P35=2,IF(EXACT(N35,O35),"ChatGPT",IF(EXACT(M35,O35),"Opus 5","Gemini")),"")</f>
        <v>ChatGPT</v>
      </c>
      <c r="R35" s="2" t="s">
        <v>74</v>
      </c>
      <c r="S35" s="2" t="s">
        <v>66</v>
      </c>
      <c r="T35" s="2" t="s">
        <v>90</v>
      </c>
      <c r="U35" s="2" t="n">
        <f aca="false">IF(AND(EXACT(R35,S35),EXACT(S35,T35)),3,IF(OR(EXACT(R35,S35),EXACT(R35,T35),EXACT(S35,T35)),2,1))</f>
        <v>1</v>
      </c>
      <c r="V35" s="2" t="str">
        <f aca="false">IF(U35=2,IF(EXACT(S35,T35),"ChatGPT",IF(EXACT(R35,T35),"Opus 5","Gemini")),"")</f>
        <v/>
      </c>
      <c r="W35" s="2" t="n">
        <f aca="false">3-EXACT(B35,C35)-EXACT(B35,D35)-EXACT(B35,E35)</f>
        <v>2</v>
      </c>
      <c r="X35" s="2" t="s">
        <v>211</v>
      </c>
      <c r="Y35" s="2" t="s">
        <v>212</v>
      </c>
      <c r="Z35" s="2" t="s">
        <v>213</v>
      </c>
    </row>
    <row r="36" customFormat="false" ht="15" hidden="false" customHeight="false" outlineLevel="0" collapsed="false">
      <c r="A36" s="2" t="n">
        <v>35</v>
      </c>
      <c r="B36" s="2" t="s">
        <v>214</v>
      </c>
      <c r="C36" s="2" t="s">
        <v>214</v>
      </c>
      <c r="D36" s="2" t="s">
        <v>214</v>
      </c>
      <c r="E36" s="2" t="s">
        <v>214</v>
      </c>
      <c r="F36" s="2" t="n">
        <f aca="false">IF(AND(EXACT(C36,D36),EXACT(D36,E36)),3,IF(OR(EXACT(C36,D36),EXACT(C36,E36),EXACT(D36,E36)),2,1))</f>
        <v>3</v>
      </c>
      <c r="G36" s="2" t="str">
        <f aca="false">IF(F36=2,IF(EXACT(D36,E36),"ChatGPT",IF(EXACT(C36,E36),"Opus 5","Gemini")),"")</f>
        <v/>
      </c>
      <c r="H36" s="2" t="s">
        <v>71</v>
      </c>
      <c r="I36" s="2" t="s">
        <v>71</v>
      </c>
      <c r="J36" s="2" t="s">
        <v>71</v>
      </c>
      <c r="K36" s="2" t="n">
        <f aca="false">IF(AND(EXACT(H36,I36),EXACT(I36,J36)),3,IF(OR(EXACT(H36,I36),EXACT(H36,J36),EXACT(I36,J36)),2,1))</f>
        <v>3</v>
      </c>
      <c r="L36" s="2" t="str">
        <f aca="false">IF(K36=2,IF(EXACT(I36,J36),"ChatGPT",IF(EXACT(H36,J36),"Opus 5","Gemini")),"")</f>
        <v/>
      </c>
      <c r="M36" s="2" t="s">
        <v>73</v>
      </c>
      <c r="N36" s="2" t="s">
        <v>72</v>
      </c>
      <c r="O36" s="2" t="s">
        <v>72</v>
      </c>
      <c r="P36" s="2" t="n">
        <f aca="false">IF(AND(EXACT(M36,N36),EXACT(N36,O36)),3,IF(OR(EXACT(M36,N36),EXACT(M36,O36),EXACT(N36,O36)),2,1))</f>
        <v>2</v>
      </c>
      <c r="Q36" s="2" t="str">
        <f aca="false">IF(P36=2,IF(EXACT(N36,O36),"ChatGPT",IF(EXACT(M36,O36),"Opus 5","Gemini")),"")</f>
        <v>ChatGPT</v>
      </c>
      <c r="R36" s="2" t="s">
        <v>75</v>
      </c>
      <c r="S36" s="2" t="s">
        <v>74</v>
      </c>
      <c r="T36" s="2" t="s">
        <v>74</v>
      </c>
      <c r="U36" s="2" t="n">
        <f aca="false">IF(AND(EXACT(R36,S36),EXACT(S36,T36)),3,IF(OR(EXACT(R36,S36),EXACT(R36,T36),EXACT(S36,T36)),2,1))</f>
        <v>2</v>
      </c>
      <c r="V36" s="2" t="str">
        <f aca="false">IF(U36=2,IF(EXACT(S36,T36),"ChatGPT",IF(EXACT(R36,T36),"Opus 5","Gemini")),"")</f>
        <v>ChatGPT</v>
      </c>
      <c r="W36" s="2" t="n">
        <f aca="false">3-EXACT(B36,C36)-EXACT(B36,D36)-EXACT(B36,E36)</f>
        <v>0</v>
      </c>
      <c r="X36" s="2" t="s">
        <v>215</v>
      </c>
      <c r="Y36" s="2" t="s">
        <v>137</v>
      </c>
      <c r="Z36" s="2" t="s">
        <v>138</v>
      </c>
    </row>
    <row r="37" customFormat="false" ht="15" hidden="false" customHeight="false" outlineLevel="0" collapsed="false">
      <c r="A37" s="2" t="n">
        <v>36</v>
      </c>
      <c r="B37" s="2" t="s">
        <v>216</v>
      </c>
      <c r="C37" s="2" t="s">
        <v>216</v>
      </c>
      <c r="D37" s="2" t="s">
        <v>216</v>
      </c>
      <c r="E37" s="2" t="s">
        <v>216</v>
      </c>
      <c r="F37" s="2" t="n">
        <f aca="false">IF(AND(EXACT(C37,D37),EXACT(D37,E37)),3,IF(OR(EXACT(C37,D37),EXACT(C37,E37),EXACT(D37,E37)),2,1))</f>
        <v>3</v>
      </c>
      <c r="G37" s="2" t="str">
        <f aca="false">IF(F37=2,IF(EXACT(D37,E37),"ChatGPT",IF(EXACT(C37,E37),"Opus 5","Gemini")),"")</f>
        <v/>
      </c>
      <c r="H37" s="2" t="s">
        <v>71</v>
      </c>
      <c r="I37" s="2" t="s">
        <v>71</v>
      </c>
      <c r="J37" s="2" t="s">
        <v>71</v>
      </c>
      <c r="K37" s="2" t="n">
        <f aca="false">IF(AND(EXACT(H37,I37),EXACT(I37,J37)),3,IF(OR(EXACT(H37,I37),EXACT(H37,J37),EXACT(I37,J37)),2,1))</f>
        <v>3</v>
      </c>
      <c r="L37" s="2" t="str">
        <f aca="false">IF(K37=2,IF(EXACT(I37,J37),"ChatGPT",IF(EXACT(H37,J37),"Opus 5","Gemini")),"")</f>
        <v/>
      </c>
      <c r="M37" s="2" t="s">
        <v>73</v>
      </c>
      <c r="N37" s="2" t="s">
        <v>73</v>
      </c>
      <c r="O37" s="2" t="s">
        <v>72</v>
      </c>
      <c r="P37" s="2" t="n">
        <f aca="false">IF(AND(EXACT(M37,N37),EXACT(N37,O37)),3,IF(OR(EXACT(M37,N37),EXACT(M37,O37),EXACT(N37,O37)),2,1))</f>
        <v>2</v>
      </c>
      <c r="Q37" s="2" t="str">
        <f aca="false">IF(P37=2,IF(EXACT(N37,O37),"ChatGPT",IF(EXACT(M37,O37),"Opus 5","Gemini")),"")</f>
        <v>Gemini</v>
      </c>
      <c r="R37" s="2" t="s">
        <v>75</v>
      </c>
      <c r="S37" s="2" t="s">
        <v>75</v>
      </c>
      <c r="T37" s="2" t="s">
        <v>74</v>
      </c>
      <c r="U37" s="2" t="n">
        <f aca="false">IF(AND(EXACT(R37,S37),EXACT(S37,T37)),3,IF(OR(EXACT(R37,S37),EXACT(R37,T37),EXACT(S37,T37)),2,1))</f>
        <v>2</v>
      </c>
      <c r="V37" s="2" t="str">
        <f aca="false">IF(U37=2,IF(EXACT(S37,T37),"ChatGPT",IF(EXACT(R37,T37),"Opus 5","Gemini")),"")</f>
        <v>Gemini</v>
      </c>
      <c r="W37" s="2" t="n">
        <f aca="false">3-EXACT(B37,C37)-EXACT(B37,D37)-EXACT(B37,E37)</f>
        <v>0</v>
      </c>
      <c r="X37" s="2" t="s">
        <v>217</v>
      </c>
      <c r="Y37" s="2" t="s">
        <v>218</v>
      </c>
      <c r="Z37" s="2" t="s">
        <v>219</v>
      </c>
    </row>
    <row r="38" customFormat="false" ht="15" hidden="false" customHeight="false" outlineLevel="0" collapsed="false">
      <c r="A38" s="2" t="n">
        <v>37</v>
      </c>
      <c r="B38" s="2" t="s">
        <v>220</v>
      </c>
      <c r="C38" s="2" t="s">
        <v>220</v>
      </c>
      <c r="D38" s="2" t="s">
        <v>220</v>
      </c>
      <c r="E38" s="2" t="s">
        <v>220</v>
      </c>
      <c r="F38" s="2" t="n">
        <f aca="false">IF(AND(EXACT(C38,D38),EXACT(D38,E38)),3,IF(OR(EXACT(C38,D38),EXACT(C38,E38),EXACT(D38,E38)),2,1))</f>
        <v>3</v>
      </c>
      <c r="G38" s="2" t="str">
        <f aca="false">IF(F38=2,IF(EXACT(D38,E38),"ChatGPT",IF(EXACT(C38,E38),"Opus 5","Gemini")),"")</f>
        <v/>
      </c>
      <c r="H38" s="2" t="s">
        <v>57</v>
      </c>
      <c r="I38" s="2" t="s">
        <v>57</v>
      </c>
      <c r="J38" s="2" t="s">
        <v>57</v>
      </c>
      <c r="K38" s="2" t="n">
        <f aca="false">IF(AND(EXACT(H38,I38),EXACT(I38,J38)),3,IF(OR(EXACT(H38,I38),EXACT(H38,J38),EXACT(I38,J38)),2,1))</f>
        <v>3</v>
      </c>
      <c r="L38" s="2" t="str">
        <f aca="false">IF(K38=2,IF(EXACT(I38,J38),"ChatGPT",IF(EXACT(H38,J38),"Opus 5","Gemini")),"")</f>
        <v/>
      </c>
      <c r="M38" s="2" t="s">
        <v>58</v>
      </c>
      <c r="N38" s="2" t="s">
        <v>150</v>
      </c>
      <c r="O38" s="2" t="s">
        <v>58</v>
      </c>
      <c r="P38" s="2" t="n">
        <f aca="false">IF(AND(EXACT(M38,N38),EXACT(N38,O38)),3,IF(OR(EXACT(M38,N38),EXACT(M38,O38),EXACT(N38,O38)),2,1))</f>
        <v>2</v>
      </c>
      <c r="Q38" s="2" t="str">
        <f aca="false">IF(P38=2,IF(EXACT(N38,O38),"ChatGPT",IF(EXACT(M38,O38),"Opus 5","Gemini")),"")</f>
        <v>Opus 5</v>
      </c>
      <c r="R38" s="2" t="s">
        <v>61</v>
      </c>
      <c r="S38" s="2" t="s">
        <v>151</v>
      </c>
      <c r="T38" s="2" t="s">
        <v>61</v>
      </c>
      <c r="U38" s="2" t="n">
        <f aca="false">IF(AND(EXACT(R38,S38),EXACT(S38,T38)),3,IF(OR(EXACT(R38,S38),EXACT(R38,T38),EXACT(S38,T38)),2,1))</f>
        <v>2</v>
      </c>
      <c r="V38" s="2" t="str">
        <f aca="false">IF(U38=2,IF(EXACT(S38,T38),"ChatGPT",IF(EXACT(R38,T38),"Opus 5","Gemini")),"")</f>
        <v>Opus 5</v>
      </c>
      <c r="W38" s="2" t="n">
        <f aca="false">3-EXACT(B38,C38)-EXACT(B38,D38)-EXACT(B38,E38)</f>
        <v>0</v>
      </c>
      <c r="X38" s="2" t="s">
        <v>221</v>
      </c>
      <c r="Y38" s="2" t="s">
        <v>218</v>
      </c>
      <c r="Z38" s="2" t="s">
        <v>219</v>
      </c>
    </row>
    <row r="39" customFormat="false" ht="15" hidden="false" customHeight="false" outlineLevel="0" collapsed="false">
      <c r="A39" s="2" t="n">
        <v>38</v>
      </c>
      <c r="B39" s="2" t="s">
        <v>222</v>
      </c>
      <c r="C39" s="2" t="s">
        <v>223</v>
      </c>
      <c r="D39" s="2" t="s">
        <v>222</v>
      </c>
      <c r="E39" s="2" t="s">
        <v>222</v>
      </c>
      <c r="F39" s="2" t="n">
        <f aca="false">IF(AND(EXACT(C39,D39),EXACT(D39,E39)),3,IF(OR(EXACT(C39,D39),EXACT(C39,E39),EXACT(D39,E39)),2,1))</f>
        <v>2</v>
      </c>
      <c r="G39" s="2" t="str">
        <f aca="false">IF(F39=2,IF(EXACT(D39,E39),"ChatGPT",IF(EXACT(C39,E39),"Opus 5","Gemini")),"")</f>
        <v>ChatGPT</v>
      </c>
      <c r="H39" s="2" t="s">
        <v>56</v>
      </c>
      <c r="I39" s="2" t="s">
        <v>57</v>
      </c>
      <c r="J39" s="2" t="s">
        <v>57</v>
      </c>
      <c r="K39" s="2" t="n">
        <f aca="false">IF(AND(EXACT(H39,I39),EXACT(I39,J39)),3,IF(OR(EXACT(H39,I39),EXACT(H39,J39),EXACT(I39,J39)),2,1))</f>
        <v>2</v>
      </c>
      <c r="L39" s="2" t="str">
        <f aca="false">IF(K39=2,IF(EXACT(I39,J39),"ChatGPT",IF(EXACT(H39,J39),"Opus 5","Gemini")),"")</f>
        <v>ChatGPT</v>
      </c>
      <c r="M39" s="2" t="s">
        <v>150</v>
      </c>
      <c r="N39" s="2" t="s">
        <v>88</v>
      </c>
      <c r="O39" s="2" t="s">
        <v>150</v>
      </c>
      <c r="P39" s="2" t="n">
        <f aca="false">IF(AND(EXACT(M39,N39),EXACT(N39,O39)),3,IF(OR(EXACT(M39,N39),EXACT(M39,O39),EXACT(N39,O39)),2,1))</f>
        <v>2</v>
      </c>
      <c r="Q39" s="2" t="str">
        <f aca="false">IF(P39=2,IF(EXACT(N39,O39),"ChatGPT",IF(EXACT(M39,O39),"Opus 5","Gemini")),"")</f>
        <v>Opus 5</v>
      </c>
      <c r="R39" s="2" t="s">
        <v>59</v>
      </c>
      <c r="S39" s="2" t="s">
        <v>60</v>
      </c>
      <c r="T39" s="2" t="s">
        <v>151</v>
      </c>
      <c r="U39" s="2" t="n">
        <f aca="false">IF(AND(EXACT(R39,S39),EXACT(S39,T39)),3,IF(OR(EXACT(R39,S39),EXACT(R39,T39),EXACT(S39,T39)),2,1))</f>
        <v>1</v>
      </c>
      <c r="V39" s="2" t="str">
        <f aca="false">IF(U39=2,IF(EXACT(S39,T39),"ChatGPT",IF(EXACT(R39,T39),"Opus 5","Gemini")),"")</f>
        <v/>
      </c>
      <c r="W39" s="2" t="n">
        <f aca="false">3-EXACT(B39,C39)-EXACT(B39,D39)-EXACT(B39,E39)</f>
        <v>1</v>
      </c>
      <c r="X39" s="2" t="s">
        <v>224</v>
      </c>
      <c r="Y39" s="2" t="s">
        <v>225</v>
      </c>
      <c r="Z39" s="2" t="s">
        <v>226</v>
      </c>
    </row>
    <row r="40" customFormat="false" ht="15" hidden="false" customHeight="false" outlineLevel="0" collapsed="false">
      <c r="A40" s="2" t="n">
        <v>39</v>
      </c>
      <c r="B40" s="2" t="s">
        <v>227</v>
      </c>
      <c r="C40" s="2" t="s">
        <v>227</v>
      </c>
      <c r="D40" s="2" t="s">
        <v>227</v>
      </c>
      <c r="E40" s="2" t="s">
        <v>227</v>
      </c>
      <c r="F40" s="2" t="n">
        <f aca="false">IF(AND(EXACT(C40,D40),EXACT(D40,E40)),3,IF(OR(EXACT(C40,D40),EXACT(C40,E40),EXACT(D40,E40)),2,1))</f>
        <v>3</v>
      </c>
      <c r="G40" s="2" t="str">
        <f aca="false">IF(F40=2,IF(EXACT(D40,E40),"ChatGPT",IF(EXACT(C40,E40),"Opus 5","Gemini")),"")</f>
        <v/>
      </c>
      <c r="H40" s="2" t="s">
        <v>71</v>
      </c>
      <c r="I40" s="2" t="s">
        <v>71</v>
      </c>
      <c r="J40" s="2" t="s">
        <v>71</v>
      </c>
      <c r="K40" s="2" t="n">
        <f aca="false">IF(AND(EXACT(H40,I40),EXACT(I40,J40)),3,IF(OR(EXACT(H40,I40),EXACT(H40,J40),EXACT(I40,J40)),2,1))</f>
        <v>3</v>
      </c>
      <c r="L40" s="2" t="str">
        <f aca="false">IF(K40=2,IF(EXACT(I40,J40),"ChatGPT",IF(EXACT(H40,J40),"Opus 5","Gemini")),"")</f>
        <v/>
      </c>
      <c r="M40" s="2" t="s">
        <v>73</v>
      </c>
      <c r="N40" s="2" t="s">
        <v>73</v>
      </c>
      <c r="O40" s="2" t="s">
        <v>72</v>
      </c>
      <c r="P40" s="2" t="n">
        <f aca="false">IF(AND(EXACT(M40,N40),EXACT(N40,O40)),3,IF(OR(EXACT(M40,N40),EXACT(M40,O40),EXACT(N40,O40)),2,1))</f>
        <v>2</v>
      </c>
      <c r="Q40" s="2" t="str">
        <f aca="false">IF(P40=2,IF(EXACT(N40,O40),"ChatGPT",IF(EXACT(M40,O40),"Opus 5","Gemini")),"")</f>
        <v>Gemini</v>
      </c>
      <c r="R40" s="2" t="s">
        <v>75</v>
      </c>
      <c r="S40" s="2" t="s">
        <v>75</v>
      </c>
      <c r="T40" s="2" t="s">
        <v>74</v>
      </c>
      <c r="U40" s="2" t="n">
        <f aca="false">IF(AND(EXACT(R40,S40),EXACT(S40,T40)),3,IF(OR(EXACT(R40,S40),EXACT(R40,T40),EXACT(S40,T40)),2,1))</f>
        <v>2</v>
      </c>
      <c r="V40" s="2" t="str">
        <f aca="false">IF(U40=2,IF(EXACT(S40,T40),"ChatGPT",IF(EXACT(R40,T40),"Opus 5","Gemini")),"")</f>
        <v>Gemini</v>
      </c>
      <c r="W40" s="2" t="n">
        <f aca="false">3-EXACT(B40,C40)-EXACT(B40,D40)-EXACT(B40,E40)</f>
        <v>0</v>
      </c>
      <c r="X40" s="2" t="s">
        <v>228</v>
      </c>
      <c r="Y40" s="2" t="s">
        <v>229</v>
      </c>
      <c r="Z40" s="2" t="s">
        <v>230</v>
      </c>
    </row>
    <row r="41" customFormat="false" ht="15" hidden="false" customHeight="false" outlineLevel="0" collapsed="false">
      <c r="A41" s="2" t="n">
        <v>40</v>
      </c>
      <c r="B41" s="2" t="s">
        <v>231</v>
      </c>
      <c r="C41" s="2" t="s">
        <v>231</v>
      </c>
      <c r="D41" s="2" t="s">
        <v>231</v>
      </c>
      <c r="E41" s="2" t="s">
        <v>231</v>
      </c>
      <c r="F41" s="2" t="n">
        <f aca="false">IF(AND(EXACT(C41,D41),EXACT(D41,E41)),3,IF(OR(EXACT(C41,D41),EXACT(C41,E41),EXACT(D41,E41)),2,1))</f>
        <v>3</v>
      </c>
      <c r="G41" s="2" t="str">
        <f aca="false">IF(F41=2,IF(EXACT(D41,E41),"ChatGPT",IF(EXACT(C41,E41),"Opus 5","Gemini")),"")</f>
        <v/>
      </c>
      <c r="H41" s="2" t="s">
        <v>71</v>
      </c>
      <c r="I41" s="2" t="s">
        <v>80</v>
      </c>
      <c r="J41" s="2" t="s">
        <v>71</v>
      </c>
      <c r="K41" s="2" t="n">
        <f aca="false">IF(AND(EXACT(H41,I41),EXACT(I41,J41)),3,IF(OR(EXACT(H41,I41),EXACT(H41,J41),EXACT(I41,J41)),2,1))</f>
        <v>2</v>
      </c>
      <c r="L41" s="2" t="str">
        <f aca="false">IF(K41=2,IF(EXACT(I41,J41),"ChatGPT",IF(EXACT(H41,J41),"Opus 5","Gemini")),"")</f>
        <v>Opus 5</v>
      </c>
      <c r="M41" s="2" t="s">
        <v>73</v>
      </c>
      <c r="N41" s="2" t="s">
        <v>73</v>
      </c>
      <c r="O41" s="2" t="s">
        <v>72</v>
      </c>
      <c r="P41" s="2" t="n">
        <f aca="false">IF(AND(EXACT(M41,N41),EXACT(N41,O41)),3,IF(OR(EXACT(M41,N41),EXACT(M41,O41),EXACT(N41,O41)),2,1))</f>
        <v>2</v>
      </c>
      <c r="Q41" s="2" t="str">
        <f aca="false">IF(P41=2,IF(EXACT(N41,O41),"ChatGPT",IF(EXACT(M41,O41),"Opus 5","Gemini")),"")</f>
        <v>Gemini</v>
      </c>
      <c r="R41" s="2" t="s">
        <v>75</v>
      </c>
      <c r="S41" s="2" t="s">
        <v>75</v>
      </c>
      <c r="T41" s="2" t="s">
        <v>74</v>
      </c>
      <c r="U41" s="2" t="n">
        <f aca="false">IF(AND(EXACT(R41,S41),EXACT(S41,T41)),3,IF(OR(EXACT(R41,S41),EXACT(R41,T41),EXACT(S41,T41)),2,1))</f>
        <v>2</v>
      </c>
      <c r="V41" s="2" t="str">
        <f aca="false">IF(U41=2,IF(EXACT(S41,T41),"ChatGPT",IF(EXACT(R41,T41),"Opus 5","Gemini")),"")</f>
        <v>Gemini</v>
      </c>
      <c r="W41" s="2" t="n">
        <f aca="false">3-EXACT(B41,C41)-EXACT(B41,D41)-EXACT(B41,E41)</f>
        <v>0</v>
      </c>
      <c r="X41" s="2" t="s">
        <v>232</v>
      </c>
      <c r="Y41" s="2" t="s">
        <v>233</v>
      </c>
      <c r="Z41" s="2" t="s">
        <v>234</v>
      </c>
    </row>
    <row r="42" customFormat="false" ht="15" hidden="false" customHeight="false" outlineLevel="0" collapsed="false">
      <c r="A42" s="2" t="n">
        <v>41</v>
      </c>
      <c r="B42" s="2" t="s">
        <v>235</v>
      </c>
      <c r="C42" s="2" t="s">
        <v>235</v>
      </c>
      <c r="D42" s="2" t="s">
        <v>235</v>
      </c>
      <c r="E42" s="2" t="s">
        <v>235</v>
      </c>
      <c r="F42" s="2" t="n">
        <f aca="false">IF(AND(EXACT(C42,D42),EXACT(D42,E42)),3,IF(OR(EXACT(C42,D42),EXACT(C42,E42),EXACT(D42,E42)),2,1))</f>
        <v>3</v>
      </c>
      <c r="G42" s="2" t="str">
        <f aca="false">IF(F42=2,IF(EXACT(D42,E42),"ChatGPT",IF(EXACT(C42,E42),"Opus 5","Gemini")),"")</f>
        <v/>
      </c>
      <c r="H42" s="2" t="s">
        <v>71</v>
      </c>
      <c r="I42" s="2" t="s">
        <v>80</v>
      </c>
      <c r="J42" s="2" t="s">
        <v>71</v>
      </c>
      <c r="K42" s="2" t="n">
        <f aca="false">IF(AND(EXACT(H42,I42),EXACT(I42,J42)),3,IF(OR(EXACT(H42,I42),EXACT(H42,J42),EXACT(I42,J42)),2,1))</f>
        <v>2</v>
      </c>
      <c r="L42" s="2" t="str">
        <f aca="false">IF(K42=2,IF(EXACT(I42,J42),"ChatGPT",IF(EXACT(H42,J42),"Opus 5","Gemini")),"")</f>
        <v>Opus 5</v>
      </c>
      <c r="M42" s="2" t="s">
        <v>72</v>
      </c>
      <c r="N42" s="2" t="s">
        <v>72</v>
      </c>
      <c r="O42" s="2" t="s">
        <v>72</v>
      </c>
      <c r="P42" s="2" t="n">
        <f aca="false">IF(AND(EXACT(M42,N42),EXACT(N42,O42)),3,IF(OR(EXACT(M42,N42),EXACT(M42,O42),EXACT(N42,O42)),2,1))</f>
        <v>3</v>
      </c>
      <c r="Q42" s="2" t="str">
        <f aca="false">IF(P42=2,IF(EXACT(N42,O42),"ChatGPT",IF(EXACT(M42,O42),"Opus 5","Gemini")),"")</f>
        <v/>
      </c>
      <c r="R42" s="2" t="s">
        <v>74</v>
      </c>
      <c r="S42" s="2" t="s">
        <v>120</v>
      </c>
      <c r="T42" s="2" t="s">
        <v>74</v>
      </c>
      <c r="U42" s="2" t="n">
        <f aca="false">IF(AND(EXACT(R42,S42),EXACT(S42,T42)),3,IF(OR(EXACT(R42,S42),EXACT(R42,T42),EXACT(S42,T42)),2,1))</f>
        <v>2</v>
      </c>
      <c r="V42" s="2" t="str">
        <f aca="false">IF(U42=2,IF(EXACT(S42,T42),"ChatGPT",IF(EXACT(R42,T42),"Opus 5","Gemini")),"")</f>
        <v>Opus 5</v>
      </c>
      <c r="W42" s="2" t="n">
        <f aca="false">3-EXACT(B42,C42)-EXACT(B42,D42)-EXACT(B42,E42)</f>
        <v>0</v>
      </c>
      <c r="X42" s="2" t="s">
        <v>236</v>
      </c>
      <c r="Y42" s="2" t="s">
        <v>237</v>
      </c>
      <c r="Z42" s="2" t="s">
        <v>238</v>
      </c>
    </row>
    <row r="43" customFormat="false" ht="15" hidden="false" customHeight="false" outlineLevel="0" collapsed="false">
      <c r="A43" s="2" t="n">
        <v>42</v>
      </c>
      <c r="B43" s="2" t="s">
        <v>239</v>
      </c>
      <c r="C43" s="2" t="s">
        <v>240</v>
      </c>
      <c r="D43" s="2" t="s">
        <v>239</v>
      </c>
      <c r="E43" s="2" t="s">
        <v>239</v>
      </c>
      <c r="F43" s="2" t="n">
        <f aca="false">IF(AND(EXACT(C43,D43),EXACT(D43,E43)),3,IF(OR(EXACT(C43,D43),EXACT(C43,E43),EXACT(D43,E43)),2,1))</f>
        <v>2</v>
      </c>
      <c r="G43" s="2" t="str">
        <f aca="false">IF(F43=2,IF(EXACT(D43,E43),"ChatGPT",IF(EXACT(C43,E43),"Opus 5","Gemini")),"")</f>
        <v>ChatGPT</v>
      </c>
      <c r="H43" s="2" t="s">
        <v>56</v>
      </c>
      <c r="I43" s="2" t="s">
        <v>57</v>
      </c>
      <c r="J43" s="2" t="s">
        <v>71</v>
      </c>
      <c r="K43" s="2" t="n">
        <f aca="false">IF(AND(EXACT(H43,I43),EXACT(I43,J43)),3,IF(OR(EXACT(H43,I43),EXACT(H43,J43),EXACT(I43,J43)),2,1))</f>
        <v>1</v>
      </c>
      <c r="L43" s="2" t="str">
        <f aca="false">IF(K43=2,IF(EXACT(I43,J43),"ChatGPT",IF(EXACT(H43,J43),"Opus 5","Gemini")),"")</f>
        <v/>
      </c>
      <c r="M43" s="2" t="s">
        <v>72</v>
      </c>
      <c r="N43" s="2" t="s">
        <v>72</v>
      </c>
      <c r="O43" s="2" t="s">
        <v>73</v>
      </c>
      <c r="P43" s="2" t="n">
        <f aca="false">IF(AND(EXACT(M43,N43),EXACT(N43,O43)),3,IF(OR(EXACT(M43,N43),EXACT(M43,O43),EXACT(N43,O43)),2,1))</f>
        <v>2</v>
      </c>
      <c r="Q43" s="2" t="str">
        <f aca="false">IF(P43=2,IF(EXACT(N43,O43),"ChatGPT",IF(EXACT(M43,O43),"Opus 5","Gemini")),"")</f>
        <v>Gemini</v>
      </c>
      <c r="R43" s="2" t="s">
        <v>59</v>
      </c>
      <c r="S43" s="2" t="s">
        <v>74</v>
      </c>
      <c r="T43" s="2" t="s">
        <v>75</v>
      </c>
      <c r="U43" s="2" t="n">
        <f aca="false">IF(AND(EXACT(R43,S43),EXACT(S43,T43)),3,IF(OR(EXACT(R43,S43),EXACT(R43,T43),EXACT(S43,T43)),2,1))</f>
        <v>1</v>
      </c>
      <c r="V43" s="2" t="str">
        <f aca="false">IF(U43=2,IF(EXACT(S43,T43),"ChatGPT",IF(EXACT(R43,T43),"Opus 5","Gemini")),"")</f>
        <v/>
      </c>
      <c r="W43" s="2" t="n">
        <f aca="false">3-EXACT(B43,C43)-EXACT(B43,D43)-EXACT(B43,E43)</f>
        <v>1</v>
      </c>
      <c r="X43" s="2" t="s">
        <v>241</v>
      </c>
      <c r="Y43" s="2" t="s">
        <v>242</v>
      </c>
      <c r="Z43" s="2" t="s">
        <v>243</v>
      </c>
    </row>
    <row r="44" customFormat="false" ht="15" hidden="false" customHeight="false" outlineLevel="0" collapsed="false">
      <c r="A44" s="2" t="n">
        <v>43</v>
      </c>
      <c r="B44" s="2" t="s">
        <v>244</v>
      </c>
      <c r="C44" s="2" t="s">
        <v>244</v>
      </c>
      <c r="D44" s="2" t="s">
        <v>244</v>
      </c>
      <c r="E44" s="2" t="s">
        <v>244</v>
      </c>
      <c r="F44" s="2" t="n">
        <f aca="false">IF(AND(EXACT(C44,D44),EXACT(D44,E44)),3,IF(OR(EXACT(C44,D44),EXACT(C44,E44),EXACT(D44,E44)),2,1))</f>
        <v>3</v>
      </c>
      <c r="G44" s="2" t="str">
        <f aca="false">IF(F44=2,IF(EXACT(D44,E44),"ChatGPT",IF(EXACT(C44,E44),"Opus 5","Gemini")),"")</f>
        <v/>
      </c>
      <c r="H44" s="2" t="s">
        <v>57</v>
      </c>
      <c r="I44" s="2" t="s">
        <v>71</v>
      </c>
      <c r="J44" s="2" t="s">
        <v>71</v>
      </c>
      <c r="K44" s="2" t="n">
        <f aca="false">IF(AND(EXACT(H44,I44),EXACT(I44,J44)),3,IF(OR(EXACT(H44,I44),EXACT(H44,J44),EXACT(I44,J44)),2,1))</f>
        <v>2</v>
      </c>
      <c r="L44" s="2" t="str">
        <f aca="false">IF(K44=2,IF(EXACT(I44,J44),"ChatGPT",IF(EXACT(H44,J44),"Opus 5","Gemini")),"")</f>
        <v>ChatGPT</v>
      </c>
      <c r="M44" s="2" t="s">
        <v>72</v>
      </c>
      <c r="N44" s="2" t="s">
        <v>73</v>
      </c>
      <c r="O44" s="2" t="s">
        <v>73</v>
      </c>
      <c r="P44" s="2" t="n">
        <f aca="false">IF(AND(EXACT(M44,N44),EXACT(N44,O44)),3,IF(OR(EXACT(M44,N44),EXACT(M44,O44),EXACT(N44,O44)),2,1))</f>
        <v>2</v>
      </c>
      <c r="Q44" s="2" t="str">
        <f aca="false">IF(P44=2,IF(EXACT(N44,O44),"ChatGPT",IF(EXACT(M44,O44),"Opus 5","Gemini")),"")</f>
        <v>ChatGPT</v>
      </c>
      <c r="R44" s="2" t="s">
        <v>74</v>
      </c>
      <c r="S44" s="2" t="s">
        <v>75</v>
      </c>
      <c r="T44" s="2" t="s">
        <v>75</v>
      </c>
      <c r="U44" s="2" t="n">
        <f aca="false">IF(AND(EXACT(R44,S44),EXACT(S44,T44)),3,IF(OR(EXACT(R44,S44),EXACT(R44,T44),EXACT(S44,T44)),2,1))</f>
        <v>2</v>
      </c>
      <c r="V44" s="2" t="str">
        <f aca="false">IF(U44=2,IF(EXACT(S44,T44),"ChatGPT",IF(EXACT(R44,T44),"Opus 5","Gemini")),"")</f>
        <v>ChatGPT</v>
      </c>
      <c r="W44" s="2" t="n">
        <f aca="false">3-EXACT(B44,C44)-EXACT(B44,D44)-EXACT(B44,E44)</f>
        <v>0</v>
      </c>
      <c r="X44" s="2" t="s">
        <v>245</v>
      </c>
      <c r="Y44" s="2" t="s">
        <v>242</v>
      </c>
      <c r="Z44" s="2" t="s">
        <v>243</v>
      </c>
    </row>
    <row r="45" customFormat="false" ht="15" hidden="false" customHeight="false" outlineLevel="0" collapsed="false">
      <c r="A45" s="2" t="n">
        <v>44</v>
      </c>
      <c r="B45" s="2" t="s">
        <v>246</v>
      </c>
      <c r="C45" s="2" t="s">
        <v>247</v>
      </c>
      <c r="D45" s="2" t="s">
        <v>246</v>
      </c>
      <c r="E45" s="2" t="s">
        <v>246</v>
      </c>
      <c r="F45" s="2" t="n">
        <f aca="false">IF(AND(EXACT(C45,D45),EXACT(D45,E45)),3,IF(OR(EXACT(C45,D45),EXACT(C45,E45),EXACT(D45,E45)),2,1))</f>
        <v>2</v>
      </c>
      <c r="G45" s="2" t="str">
        <f aca="false">IF(F45=2,IF(EXACT(D45,E45),"ChatGPT",IF(EXACT(C45,E45),"Opus 5","Gemini")),"")</f>
        <v>ChatGPT</v>
      </c>
      <c r="H45" s="2" t="s">
        <v>56</v>
      </c>
      <c r="I45" s="2" t="s">
        <v>57</v>
      </c>
      <c r="J45" s="2" t="s">
        <v>57</v>
      </c>
      <c r="K45" s="2" t="n">
        <f aca="false">IF(AND(EXACT(H45,I45),EXACT(I45,J45)),3,IF(OR(EXACT(H45,I45),EXACT(H45,J45),EXACT(I45,J45)),2,1))</f>
        <v>2</v>
      </c>
      <c r="L45" s="2" t="str">
        <f aca="false">IF(K45=2,IF(EXACT(I45,J45),"ChatGPT",IF(EXACT(H45,J45),"Opus 5","Gemini")),"")</f>
        <v>ChatGPT</v>
      </c>
      <c r="M45" s="2" t="s">
        <v>58</v>
      </c>
      <c r="N45" s="2" t="s">
        <v>88</v>
      </c>
      <c r="O45" s="2" t="s">
        <v>72</v>
      </c>
      <c r="P45" s="2" t="n">
        <f aca="false">IF(AND(EXACT(M45,N45),EXACT(N45,O45)),3,IF(OR(EXACT(M45,N45),EXACT(M45,O45),EXACT(N45,O45)),2,1))</f>
        <v>1</v>
      </c>
      <c r="Q45" s="2" t="str">
        <f aca="false">IF(P45=2,IF(EXACT(N45,O45),"ChatGPT",IF(EXACT(M45,O45),"Opus 5","Gemini")),"")</f>
        <v/>
      </c>
      <c r="R45" s="2" t="s">
        <v>59</v>
      </c>
      <c r="S45" s="2" t="s">
        <v>60</v>
      </c>
      <c r="T45" s="2" t="s">
        <v>74</v>
      </c>
      <c r="U45" s="2" t="n">
        <f aca="false">IF(AND(EXACT(R45,S45),EXACT(S45,T45)),3,IF(OR(EXACT(R45,S45),EXACT(R45,T45),EXACT(S45,T45)),2,1))</f>
        <v>1</v>
      </c>
      <c r="V45" s="2" t="str">
        <f aca="false">IF(U45=2,IF(EXACT(S45,T45),"ChatGPT",IF(EXACT(R45,T45),"Opus 5","Gemini")),"")</f>
        <v/>
      </c>
      <c r="W45" s="2" t="n">
        <f aca="false">3-EXACT(B45,C45)-EXACT(B45,D45)-EXACT(B45,E45)</f>
        <v>1</v>
      </c>
      <c r="X45" s="2" t="s">
        <v>248</v>
      </c>
      <c r="Y45" s="2" t="s">
        <v>137</v>
      </c>
      <c r="Z45" s="2" t="s">
        <v>138</v>
      </c>
    </row>
    <row r="46" customFormat="false" ht="15" hidden="false" customHeight="false" outlineLevel="0" collapsed="false">
      <c r="A46" s="2" t="n">
        <v>45</v>
      </c>
      <c r="B46" s="2" t="s">
        <v>249</v>
      </c>
      <c r="C46" s="2" t="s">
        <v>249</v>
      </c>
      <c r="D46" s="2" t="s">
        <v>249</v>
      </c>
      <c r="E46" s="2" t="s">
        <v>249</v>
      </c>
      <c r="F46" s="2" t="n">
        <f aca="false">IF(AND(EXACT(C46,D46),EXACT(D46,E46)),3,IF(OR(EXACT(C46,D46),EXACT(C46,E46),EXACT(D46,E46)),2,1))</f>
        <v>3</v>
      </c>
      <c r="G46" s="2" t="str">
        <f aca="false">IF(F46=2,IF(EXACT(D46,E46),"ChatGPT",IF(EXACT(C46,E46),"Opus 5","Gemini")),"")</f>
        <v/>
      </c>
      <c r="H46" s="2" t="s">
        <v>71</v>
      </c>
      <c r="I46" s="2" t="s">
        <v>71</v>
      </c>
      <c r="J46" s="2" t="s">
        <v>71</v>
      </c>
      <c r="K46" s="2" t="n">
        <f aca="false">IF(AND(EXACT(H46,I46),EXACT(I46,J46)),3,IF(OR(EXACT(H46,I46),EXACT(H46,J46),EXACT(I46,J46)),2,1))</f>
        <v>3</v>
      </c>
      <c r="L46" s="2" t="str">
        <f aca="false">IF(K46=2,IF(EXACT(I46,J46),"ChatGPT",IF(EXACT(H46,J46),"Opus 5","Gemini")),"")</f>
        <v/>
      </c>
      <c r="M46" s="2" t="s">
        <v>88</v>
      </c>
      <c r="N46" s="2" t="s">
        <v>88</v>
      </c>
      <c r="O46" s="2" t="s">
        <v>88</v>
      </c>
      <c r="P46" s="2" t="n">
        <f aca="false">IF(AND(EXACT(M46,N46),EXACT(N46,O46)),3,IF(OR(EXACT(M46,N46),EXACT(M46,O46),EXACT(N46,O46)),2,1))</f>
        <v>3</v>
      </c>
      <c r="Q46" s="2" t="str">
        <f aca="false">IF(P46=2,IF(EXACT(N46,O46),"ChatGPT",IF(EXACT(M46,O46),"Opus 5","Gemini")),"")</f>
        <v/>
      </c>
      <c r="R46" s="2" t="s">
        <v>89</v>
      </c>
      <c r="S46" s="2" t="s">
        <v>89</v>
      </c>
      <c r="T46" s="2" t="s">
        <v>89</v>
      </c>
      <c r="U46" s="2" t="n">
        <f aca="false">IF(AND(EXACT(R46,S46),EXACT(S46,T46)),3,IF(OR(EXACT(R46,S46),EXACT(R46,T46),EXACT(S46,T46)),2,1))</f>
        <v>3</v>
      </c>
      <c r="V46" s="2" t="str">
        <f aca="false">IF(U46=2,IF(EXACT(S46,T46),"ChatGPT",IF(EXACT(R46,T46),"Opus 5","Gemini")),"")</f>
        <v/>
      </c>
      <c r="W46" s="2" t="n">
        <f aca="false">3-EXACT(B46,C46)-EXACT(B46,D46)-EXACT(B46,E46)</f>
        <v>0</v>
      </c>
      <c r="X46" s="2" t="s">
        <v>91</v>
      </c>
      <c r="Y46" s="2" t="s">
        <v>91</v>
      </c>
      <c r="Z46" s="2" t="s">
        <v>91</v>
      </c>
    </row>
    <row r="47" customFormat="false" ht="15" hidden="false" customHeight="false" outlineLevel="0" collapsed="false">
      <c r="A47" s="2" t="n">
        <v>46</v>
      </c>
      <c r="B47" s="2" t="s">
        <v>250</v>
      </c>
      <c r="C47" s="2" t="s">
        <v>250</v>
      </c>
      <c r="D47" s="2" t="s">
        <v>250</v>
      </c>
      <c r="E47" s="2" t="s">
        <v>250</v>
      </c>
      <c r="F47" s="2" t="n">
        <f aca="false">IF(AND(EXACT(C47,D47),EXACT(D47,E47)),3,IF(OR(EXACT(C47,D47),EXACT(C47,E47),EXACT(D47,E47)),2,1))</f>
        <v>3</v>
      </c>
      <c r="G47" s="2" t="str">
        <f aca="false">IF(F47=2,IF(EXACT(D47,E47),"ChatGPT",IF(EXACT(C47,E47),"Opus 5","Gemini")),"")</f>
        <v/>
      </c>
      <c r="H47" s="2" t="s">
        <v>57</v>
      </c>
      <c r="I47" s="2" t="s">
        <v>80</v>
      </c>
      <c r="J47" s="2" t="s">
        <v>71</v>
      </c>
      <c r="K47" s="2" t="n">
        <f aca="false">IF(AND(EXACT(H47,I47),EXACT(I47,J47)),3,IF(OR(EXACT(H47,I47),EXACT(H47,J47),EXACT(I47,J47)),2,1))</f>
        <v>1</v>
      </c>
      <c r="L47" s="2" t="str">
        <f aca="false">IF(K47=2,IF(EXACT(I47,J47),"ChatGPT",IF(EXACT(H47,J47),"Opus 5","Gemini")),"")</f>
        <v/>
      </c>
      <c r="M47" s="2" t="s">
        <v>58</v>
      </c>
      <c r="N47" s="2" t="s">
        <v>88</v>
      </c>
      <c r="O47" s="2" t="s">
        <v>88</v>
      </c>
      <c r="P47" s="2" t="n">
        <f aca="false">IF(AND(EXACT(M47,N47),EXACT(N47,O47)),3,IF(OR(EXACT(M47,N47),EXACT(M47,O47),EXACT(N47,O47)),2,1))</f>
        <v>2</v>
      </c>
      <c r="Q47" s="2" t="str">
        <f aca="false">IF(P47=2,IF(EXACT(N47,O47),"ChatGPT",IF(EXACT(M47,O47),"Opus 5","Gemini")),"")</f>
        <v>ChatGPT</v>
      </c>
      <c r="R47" s="2" t="s">
        <v>61</v>
      </c>
      <c r="S47" s="2" t="s">
        <v>120</v>
      </c>
      <c r="T47" s="2" t="s">
        <v>89</v>
      </c>
      <c r="U47" s="2" t="n">
        <f aca="false">IF(AND(EXACT(R47,S47),EXACT(S47,T47)),3,IF(OR(EXACT(R47,S47),EXACT(R47,T47),EXACT(S47,T47)),2,1))</f>
        <v>1</v>
      </c>
      <c r="V47" s="2" t="str">
        <f aca="false">IF(U47=2,IF(EXACT(S47,T47),"ChatGPT",IF(EXACT(R47,T47),"Opus 5","Gemini")),"")</f>
        <v/>
      </c>
      <c r="W47" s="2" t="n">
        <f aca="false">3-EXACT(B47,C47)-EXACT(B47,D47)-EXACT(B47,E47)</f>
        <v>0</v>
      </c>
      <c r="X47" s="2" t="s">
        <v>251</v>
      </c>
      <c r="Y47" s="2" t="s">
        <v>252</v>
      </c>
      <c r="Z47" s="2" t="s">
        <v>91</v>
      </c>
    </row>
    <row r="48" customFormat="false" ht="15" hidden="false" customHeight="false" outlineLevel="0" collapsed="false">
      <c r="A48" s="2" t="n">
        <v>47</v>
      </c>
      <c r="B48" s="2" t="s">
        <v>253</v>
      </c>
      <c r="C48" s="2" t="s">
        <v>254</v>
      </c>
      <c r="D48" s="2" t="s">
        <v>254</v>
      </c>
      <c r="E48" s="2" t="s">
        <v>253</v>
      </c>
      <c r="F48" s="2" t="n">
        <f aca="false">IF(AND(EXACT(C48,D48),EXACT(D48,E48)),3,IF(OR(EXACT(C48,D48),EXACT(C48,E48),EXACT(D48,E48)),2,1))</f>
        <v>2</v>
      </c>
      <c r="G48" s="2" t="str">
        <f aca="false">IF(F48=2,IF(EXACT(D48,E48),"ChatGPT",IF(EXACT(C48,E48),"Opus 5","Gemini")),"")</f>
        <v>Gemini</v>
      </c>
      <c r="H48" s="2" t="s">
        <v>56</v>
      </c>
      <c r="I48" s="2" t="s">
        <v>56</v>
      </c>
      <c r="J48" s="2" t="s">
        <v>71</v>
      </c>
      <c r="K48" s="2" t="n">
        <f aca="false">IF(AND(EXACT(H48,I48),EXACT(I48,J48)),3,IF(OR(EXACT(H48,I48),EXACT(H48,J48),EXACT(I48,J48)),2,1))</f>
        <v>2</v>
      </c>
      <c r="L48" s="2" t="str">
        <f aca="false">IF(K48=2,IF(EXACT(I48,J48),"ChatGPT",IF(EXACT(H48,J48),"Opus 5","Gemini")),"")</f>
        <v>Gemini</v>
      </c>
      <c r="M48" s="2" t="s">
        <v>88</v>
      </c>
      <c r="N48" s="2" t="s">
        <v>88</v>
      </c>
      <c r="O48" s="2" t="s">
        <v>88</v>
      </c>
      <c r="P48" s="2" t="n">
        <f aca="false">IF(AND(EXACT(M48,N48),EXACT(N48,O48)),3,IF(OR(EXACT(M48,N48),EXACT(M48,O48),EXACT(N48,O48)),2,1))</f>
        <v>3</v>
      </c>
      <c r="Q48" s="2" t="str">
        <f aca="false">IF(P48=2,IF(EXACT(N48,O48),"ChatGPT",IF(EXACT(M48,O48),"Opus 5","Gemini")),"")</f>
        <v/>
      </c>
      <c r="R48" s="2" t="s">
        <v>59</v>
      </c>
      <c r="S48" s="2" t="s">
        <v>59</v>
      </c>
      <c r="T48" s="2" t="s">
        <v>89</v>
      </c>
      <c r="U48" s="2" t="n">
        <f aca="false">IF(AND(EXACT(R48,S48),EXACT(S48,T48)),3,IF(OR(EXACT(R48,S48),EXACT(R48,T48),EXACT(S48,T48)),2,1))</f>
        <v>2</v>
      </c>
      <c r="V48" s="2" t="str">
        <f aca="false">IF(U48=2,IF(EXACT(S48,T48),"ChatGPT",IF(EXACT(R48,T48),"Opus 5","Gemini")),"")</f>
        <v>Gemini</v>
      </c>
      <c r="W48" s="2" t="n">
        <f aca="false">3-EXACT(B48,C48)-EXACT(B48,D48)-EXACT(B48,E48)</f>
        <v>2</v>
      </c>
      <c r="X48" s="2" t="s">
        <v>255</v>
      </c>
      <c r="Y48" s="2" t="s">
        <v>91</v>
      </c>
      <c r="Z48" s="2" t="s">
        <v>91</v>
      </c>
    </row>
    <row r="49" customFormat="false" ht="15" hidden="false" customHeight="false" outlineLevel="0" collapsed="false">
      <c r="A49" s="2" t="n">
        <v>48</v>
      </c>
      <c r="B49" s="2" t="s">
        <v>256</v>
      </c>
      <c r="C49" s="2" t="s">
        <v>256</v>
      </c>
      <c r="D49" s="2" t="s">
        <v>256</v>
      </c>
      <c r="E49" s="2" t="s">
        <v>256</v>
      </c>
      <c r="F49" s="2" t="n">
        <f aca="false">IF(AND(EXACT(C49,D49),EXACT(D49,E49)),3,IF(OR(EXACT(C49,D49),EXACT(C49,E49),EXACT(D49,E49)),2,1))</f>
        <v>3</v>
      </c>
      <c r="G49" s="2" t="str">
        <f aca="false">IF(F49=2,IF(EXACT(D49,E49),"ChatGPT",IF(EXACT(C49,E49),"Opus 5","Gemini")),"")</f>
        <v/>
      </c>
      <c r="H49" s="2" t="s">
        <v>57</v>
      </c>
      <c r="I49" s="2" t="s">
        <v>57</v>
      </c>
      <c r="J49" s="2" t="s">
        <v>71</v>
      </c>
      <c r="K49" s="2" t="n">
        <f aca="false">IF(AND(EXACT(H49,I49),EXACT(I49,J49)),3,IF(OR(EXACT(H49,I49),EXACT(H49,J49),EXACT(I49,J49)),2,1))</f>
        <v>2</v>
      </c>
      <c r="L49" s="2" t="str">
        <f aca="false">IF(K49=2,IF(EXACT(I49,J49),"ChatGPT",IF(EXACT(H49,J49),"Opus 5","Gemini")),"")</f>
        <v>Gemini</v>
      </c>
      <c r="M49" s="2" t="s">
        <v>58</v>
      </c>
      <c r="N49" s="2" t="s">
        <v>58</v>
      </c>
      <c r="O49" s="2" t="s">
        <v>114</v>
      </c>
      <c r="P49" s="2" t="n">
        <f aca="false">IF(AND(EXACT(M49,N49),EXACT(N49,O49)),3,IF(OR(EXACT(M49,N49),EXACT(M49,O49),EXACT(N49,O49)),2,1))</f>
        <v>2</v>
      </c>
      <c r="Q49" s="2" t="str">
        <f aca="false">IF(P49=2,IF(EXACT(N49,O49),"ChatGPT",IF(EXACT(M49,O49),"Opus 5","Gemini")),"")</f>
        <v>Gemini</v>
      </c>
      <c r="R49" s="2" t="s">
        <v>66</v>
      </c>
      <c r="S49" s="2" t="s">
        <v>66</v>
      </c>
      <c r="T49" s="2" t="s">
        <v>66</v>
      </c>
      <c r="U49" s="2" t="n">
        <f aca="false">IF(AND(EXACT(R49,S49),EXACT(S49,T49)),3,IF(OR(EXACT(R49,S49),EXACT(R49,T49),EXACT(S49,T49)),2,1))</f>
        <v>3</v>
      </c>
      <c r="V49" s="2" t="str">
        <f aca="false">IF(U49=2,IF(EXACT(S49,T49),"ChatGPT",IF(EXACT(R49,T49),"Opus 5","Gemini")),"")</f>
        <v/>
      </c>
      <c r="W49" s="2" t="n">
        <f aca="false">3-EXACT(B49,C49)-EXACT(B49,D49)-EXACT(B49,E49)</f>
        <v>0</v>
      </c>
      <c r="X49" s="2" t="s">
        <v>257</v>
      </c>
      <c r="Y49" s="2" t="s">
        <v>258</v>
      </c>
      <c r="Z49" s="2" t="s">
        <v>259</v>
      </c>
    </row>
    <row r="50" customFormat="false" ht="15" hidden="false" customHeight="false" outlineLevel="0" collapsed="false">
      <c r="A50" s="2" t="n">
        <v>49</v>
      </c>
      <c r="B50" s="2" t="s">
        <v>260</v>
      </c>
      <c r="C50" s="2" t="s">
        <v>260</v>
      </c>
      <c r="D50" s="2" t="s">
        <v>260</v>
      </c>
      <c r="E50" s="2" t="s">
        <v>260</v>
      </c>
      <c r="F50" s="2" t="n">
        <f aca="false">IF(AND(EXACT(C50,D50),EXACT(D50,E50)),3,IF(OR(EXACT(C50,D50),EXACT(C50,E50),EXACT(D50,E50)),2,1))</f>
        <v>3</v>
      </c>
      <c r="G50" s="2" t="str">
        <f aca="false">IF(F50=2,IF(EXACT(D50,E50),"ChatGPT",IF(EXACT(C50,E50),"Opus 5","Gemini")),"")</f>
        <v/>
      </c>
      <c r="H50" s="2" t="s">
        <v>57</v>
      </c>
      <c r="I50" s="2" t="s">
        <v>57</v>
      </c>
      <c r="J50" s="2" t="s">
        <v>71</v>
      </c>
      <c r="K50" s="2" t="n">
        <f aca="false">IF(AND(EXACT(H50,I50),EXACT(I50,J50)),3,IF(OR(EXACT(H50,I50),EXACT(H50,J50),EXACT(I50,J50)),2,1))</f>
        <v>2</v>
      </c>
      <c r="L50" s="2" t="str">
        <f aca="false">IF(K50=2,IF(EXACT(I50,J50),"ChatGPT",IF(EXACT(H50,J50),"Opus 5","Gemini")),"")</f>
        <v>Gemini</v>
      </c>
      <c r="M50" s="2" t="s">
        <v>58</v>
      </c>
      <c r="N50" s="2" t="s">
        <v>58</v>
      </c>
      <c r="O50" s="2" t="s">
        <v>114</v>
      </c>
      <c r="P50" s="2" t="n">
        <f aca="false">IF(AND(EXACT(M50,N50),EXACT(N50,O50)),3,IF(OR(EXACT(M50,N50),EXACT(M50,O50),EXACT(N50,O50)),2,1))</f>
        <v>2</v>
      </c>
      <c r="Q50" s="2" t="str">
        <f aca="false">IF(P50=2,IF(EXACT(N50,O50),"ChatGPT",IF(EXACT(M50,O50),"Opus 5","Gemini")),"")</f>
        <v>Gemini</v>
      </c>
      <c r="R50" s="2" t="s">
        <v>66</v>
      </c>
      <c r="S50" s="2" t="s">
        <v>66</v>
      </c>
      <c r="T50" s="2" t="s">
        <v>66</v>
      </c>
      <c r="U50" s="2" t="n">
        <f aca="false">IF(AND(EXACT(R50,S50),EXACT(S50,T50)),3,IF(OR(EXACT(R50,S50),EXACT(R50,T50),EXACT(S50,T50)),2,1))</f>
        <v>3</v>
      </c>
      <c r="V50" s="2" t="str">
        <f aca="false">IF(U50=2,IF(EXACT(S50,T50),"ChatGPT",IF(EXACT(R50,T50),"Opus 5","Gemini")),"")</f>
        <v/>
      </c>
      <c r="W50" s="2" t="n">
        <f aca="false">3-EXACT(B50,C50)-EXACT(B50,D50)-EXACT(B50,E50)</f>
        <v>0</v>
      </c>
      <c r="X50" s="2" t="s">
        <v>261</v>
      </c>
      <c r="Y50" s="2" t="s">
        <v>262</v>
      </c>
      <c r="Z50" s="2" t="s">
        <v>263</v>
      </c>
    </row>
    <row r="51" customFormat="false" ht="15" hidden="false" customHeight="false" outlineLevel="0" collapsed="false">
      <c r="A51" s="2" t="n">
        <v>50</v>
      </c>
      <c r="B51" s="2" t="s">
        <v>264</v>
      </c>
      <c r="C51" s="2" t="s">
        <v>264</v>
      </c>
      <c r="D51" s="2" t="s">
        <v>264</v>
      </c>
      <c r="E51" s="2" t="s">
        <v>264</v>
      </c>
      <c r="F51" s="2" t="n">
        <f aca="false">IF(AND(EXACT(C51,D51),EXACT(D51,E51)),3,IF(OR(EXACT(C51,D51),EXACT(C51,E51),EXACT(D51,E51)),2,1))</f>
        <v>3</v>
      </c>
      <c r="G51" s="2" t="str">
        <f aca="false">IF(F51=2,IF(EXACT(D51,E51),"ChatGPT",IF(EXACT(C51,E51),"Opus 5","Gemini")),"")</f>
        <v/>
      </c>
      <c r="H51" s="2" t="s">
        <v>57</v>
      </c>
      <c r="I51" s="2" t="s">
        <v>71</v>
      </c>
      <c r="J51" s="2" t="s">
        <v>71</v>
      </c>
      <c r="K51" s="2" t="n">
        <f aca="false">IF(AND(EXACT(H51,I51),EXACT(I51,J51)),3,IF(OR(EXACT(H51,I51),EXACT(H51,J51),EXACT(I51,J51)),2,1))</f>
        <v>2</v>
      </c>
      <c r="L51" s="2" t="str">
        <f aca="false">IF(K51=2,IF(EXACT(I51,J51),"ChatGPT",IF(EXACT(H51,J51),"Opus 5","Gemini")),"")</f>
        <v>ChatGPT</v>
      </c>
      <c r="M51" s="2" t="s">
        <v>58</v>
      </c>
      <c r="N51" s="2" t="s">
        <v>88</v>
      </c>
      <c r="O51" s="2" t="s">
        <v>114</v>
      </c>
      <c r="P51" s="2" t="n">
        <f aca="false">IF(AND(EXACT(M51,N51),EXACT(N51,O51)),3,IF(OR(EXACT(M51,N51),EXACT(M51,O51),EXACT(N51,O51)),2,1))</f>
        <v>1</v>
      </c>
      <c r="Q51" s="2" t="str">
        <f aca="false">IF(P51=2,IF(EXACT(N51,O51),"ChatGPT",IF(EXACT(M51,O51),"Opus 5","Gemini")),"")</f>
        <v/>
      </c>
      <c r="R51" s="2" t="s">
        <v>61</v>
      </c>
      <c r="S51" s="2" t="s">
        <v>89</v>
      </c>
      <c r="T51" s="2" t="s">
        <v>66</v>
      </c>
      <c r="U51" s="2" t="n">
        <f aca="false">IF(AND(EXACT(R51,S51),EXACT(S51,T51)),3,IF(OR(EXACT(R51,S51),EXACT(R51,T51),EXACT(S51,T51)),2,1))</f>
        <v>1</v>
      </c>
      <c r="V51" s="2" t="str">
        <f aca="false">IF(U51=2,IF(EXACT(S51,T51),"ChatGPT",IF(EXACT(R51,T51),"Opus 5","Gemini")),"")</f>
        <v/>
      </c>
      <c r="W51" s="2" t="n">
        <f aca="false">3-EXACT(B51,C51)-EXACT(B51,D51)-EXACT(B51,E51)</f>
        <v>0</v>
      </c>
      <c r="X51" s="2" t="s">
        <v>265</v>
      </c>
      <c r="Y51" s="2" t="s">
        <v>91</v>
      </c>
      <c r="Z51" s="2" t="s">
        <v>266</v>
      </c>
    </row>
    <row r="52" customFormat="false" ht="15" hidden="false" customHeight="false" outlineLevel="0" collapsed="false">
      <c r="A52" s="2" t="n">
        <v>51</v>
      </c>
      <c r="B52" s="2" t="s">
        <v>267</v>
      </c>
      <c r="C52" s="2" t="s">
        <v>268</v>
      </c>
      <c r="D52" s="2" t="s">
        <v>267</v>
      </c>
      <c r="E52" s="2" t="s">
        <v>267</v>
      </c>
      <c r="F52" s="2" t="n">
        <f aca="false">IF(AND(EXACT(C52,D52),EXACT(D52,E52)),3,IF(OR(EXACT(C52,D52),EXACT(C52,E52),EXACT(D52,E52)),2,1))</f>
        <v>2</v>
      </c>
      <c r="G52" s="2" t="str">
        <f aca="false">IF(F52=2,IF(EXACT(D52,E52),"ChatGPT",IF(EXACT(C52,E52),"Opus 5","Gemini")),"")</f>
        <v>ChatGPT</v>
      </c>
      <c r="H52" s="2" t="s">
        <v>56</v>
      </c>
      <c r="I52" s="2" t="s">
        <v>80</v>
      </c>
      <c r="J52" s="2" t="s">
        <v>71</v>
      </c>
      <c r="K52" s="2" t="n">
        <f aca="false">IF(AND(EXACT(H52,I52),EXACT(I52,J52)),3,IF(OR(EXACT(H52,I52),EXACT(H52,J52),EXACT(I52,J52)),2,1))</f>
        <v>1</v>
      </c>
      <c r="L52" s="2" t="str">
        <f aca="false">IF(K52=2,IF(EXACT(I52,J52),"ChatGPT",IF(EXACT(H52,J52),"Opus 5","Gemini")),"")</f>
        <v/>
      </c>
      <c r="M52" s="2" t="s">
        <v>58</v>
      </c>
      <c r="N52" s="2" t="s">
        <v>88</v>
      </c>
      <c r="O52" s="2" t="s">
        <v>88</v>
      </c>
      <c r="P52" s="2" t="n">
        <f aca="false">IF(AND(EXACT(M52,N52),EXACT(N52,O52)),3,IF(OR(EXACT(M52,N52),EXACT(M52,O52),EXACT(N52,O52)),2,1))</f>
        <v>2</v>
      </c>
      <c r="Q52" s="2" t="str">
        <f aca="false">IF(P52=2,IF(EXACT(N52,O52),"ChatGPT",IF(EXACT(M52,O52),"Opus 5","Gemini")),"")</f>
        <v>ChatGPT</v>
      </c>
      <c r="R52" s="2" t="s">
        <v>59</v>
      </c>
      <c r="S52" s="2" t="s">
        <v>90</v>
      </c>
      <c r="T52" s="2" t="s">
        <v>89</v>
      </c>
      <c r="U52" s="2" t="n">
        <f aca="false">IF(AND(EXACT(R52,S52),EXACT(S52,T52)),3,IF(OR(EXACT(R52,S52),EXACT(R52,T52),EXACT(S52,T52)),2,1))</f>
        <v>1</v>
      </c>
      <c r="V52" s="2" t="str">
        <f aca="false">IF(U52=2,IF(EXACT(S52,T52),"ChatGPT",IF(EXACT(R52,T52),"Opus 5","Gemini")),"")</f>
        <v/>
      </c>
      <c r="W52" s="2" t="n">
        <f aca="false">3-EXACT(B52,C52)-EXACT(B52,D52)-EXACT(B52,E52)</f>
        <v>1</v>
      </c>
      <c r="X52" s="2" t="s">
        <v>269</v>
      </c>
      <c r="Y52" s="2" t="s">
        <v>91</v>
      </c>
      <c r="Z52" s="2" t="s">
        <v>91</v>
      </c>
    </row>
    <row r="53" customFormat="false" ht="15" hidden="false" customHeight="false" outlineLevel="0" collapsed="false">
      <c r="A53" s="2" t="n">
        <v>52</v>
      </c>
      <c r="B53" s="2" t="s">
        <v>270</v>
      </c>
      <c r="C53" s="2" t="s">
        <v>271</v>
      </c>
      <c r="D53" s="2" t="s">
        <v>272</v>
      </c>
      <c r="E53" s="2" t="s">
        <v>270</v>
      </c>
      <c r="F53" s="2" t="n">
        <f aca="false">IF(AND(EXACT(C53,D53),EXACT(D53,E53)),3,IF(OR(EXACT(C53,D53),EXACT(C53,E53),EXACT(D53,E53)),2,1))</f>
        <v>1</v>
      </c>
      <c r="G53" s="2" t="str">
        <f aca="false">IF(F53=2,IF(EXACT(D53,E53),"ChatGPT",IF(EXACT(C53,E53),"Opus 5","Gemini")),"")</f>
        <v/>
      </c>
      <c r="H53" s="2" t="s">
        <v>56</v>
      </c>
      <c r="I53" s="2" t="s">
        <v>56</v>
      </c>
      <c r="J53" s="2" t="s">
        <v>71</v>
      </c>
      <c r="K53" s="2" t="n">
        <f aca="false">IF(AND(EXACT(H53,I53),EXACT(I53,J53)),3,IF(OR(EXACT(H53,I53),EXACT(H53,J53),EXACT(I53,J53)),2,1))</f>
        <v>2</v>
      </c>
      <c r="L53" s="2" t="str">
        <f aca="false">IF(K53=2,IF(EXACT(I53,J53),"ChatGPT",IF(EXACT(H53,J53),"Opus 5","Gemini")),"")</f>
        <v>Gemini</v>
      </c>
      <c r="M53" s="2" t="s">
        <v>58</v>
      </c>
      <c r="N53" s="2" t="s">
        <v>88</v>
      </c>
      <c r="O53" s="2" t="s">
        <v>114</v>
      </c>
      <c r="P53" s="2" t="n">
        <f aca="false">IF(AND(EXACT(M53,N53),EXACT(N53,O53)),3,IF(OR(EXACT(M53,N53),EXACT(M53,O53),EXACT(N53,O53)),2,1))</f>
        <v>1</v>
      </c>
      <c r="Q53" s="2" t="str">
        <f aca="false">IF(P53=2,IF(EXACT(N53,O53),"ChatGPT",IF(EXACT(M53,O53),"Opus 5","Gemini")),"")</f>
        <v/>
      </c>
      <c r="R53" s="2" t="s">
        <v>59</v>
      </c>
      <c r="S53" s="2" t="s">
        <v>120</v>
      </c>
      <c r="T53" s="2" t="s">
        <v>66</v>
      </c>
      <c r="U53" s="2" t="n">
        <f aca="false">IF(AND(EXACT(R53,S53),EXACT(S53,T53)),3,IF(OR(EXACT(R53,S53),EXACT(R53,T53),EXACT(S53,T53)),2,1))</f>
        <v>1</v>
      </c>
      <c r="V53" s="2" t="str">
        <f aca="false">IF(U53=2,IF(EXACT(S53,T53),"ChatGPT",IF(EXACT(R53,T53),"Opus 5","Gemini")),"")</f>
        <v/>
      </c>
      <c r="W53" s="2" t="n">
        <f aca="false">3-EXACT(B53,C53)-EXACT(B53,D53)-EXACT(B53,E53)</f>
        <v>2</v>
      </c>
      <c r="X53" s="2" t="s">
        <v>273</v>
      </c>
      <c r="Y53" s="2" t="s">
        <v>274</v>
      </c>
      <c r="Z53" s="2" t="s">
        <v>275</v>
      </c>
    </row>
    <row r="54" customFormat="false" ht="15" hidden="false" customHeight="false" outlineLevel="0" collapsed="false">
      <c r="A54" s="2" t="n">
        <v>53</v>
      </c>
      <c r="B54" s="2" t="s">
        <v>276</v>
      </c>
      <c r="C54" s="2" t="s">
        <v>276</v>
      </c>
      <c r="D54" s="2" t="s">
        <v>276</v>
      </c>
      <c r="E54" s="2" t="s">
        <v>276</v>
      </c>
      <c r="F54" s="2" t="n">
        <f aca="false">IF(AND(EXACT(C54,D54),EXACT(D54,E54)),3,IF(OR(EXACT(C54,D54),EXACT(C54,E54),EXACT(D54,E54)),2,1))</f>
        <v>3</v>
      </c>
      <c r="G54" s="2" t="str">
        <f aca="false">IF(F54=2,IF(EXACT(D54,E54),"ChatGPT",IF(EXACT(C54,E54),"Opus 5","Gemini")),"")</f>
        <v/>
      </c>
      <c r="H54" s="2" t="s">
        <v>71</v>
      </c>
      <c r="I54" s="2" t="s">
        <v>71</v>
      </c>
      <c r="J54" s="2" t="s">
        <v>71</v>
      </c>
      <c r="K54" s="2" t="n">
        <f aca="false">IF(AND(EXACT(H54,I54),EXACT(I54,J54)),3,IF(OR(EXACT(H54,I54),EXACT(H54,J54),EXACT(I54,J54)),2,1))</f>
        <v>3</v>
      </c>
      <c r="L54" s="2" t="str">
        <f aca="false">IF(K54=2,IF(EXACT(I54,J54),"ChatGPT",IF(EXACT(H54,J54),"Opus 5","Gemini")),"")</f>
        <v/>
      </c>
      <c r="M54" s="2" t="s">
        <v>73</v>
      </c>
      <c r="N54" s="2" t="s">
        <v>73</v>
      </c>
      <c r="O54" s="2" t="s">
        <v>72</v>
      </c>
      <c r="P54" s="2" t="n">
        <f aca="false">IF(AND(EXACT(M54,N54),EXACT(N54,O54)),3,IF(OR(EXACT(M54,N54),EXACT(M54,O54),EXACT(N54,O54)),2,1))</f>
        <v>2</v>
      </c>
      <c r="Q54" s="2" t="str">
        <f aca="false">IF(P54=2,IF(EXACT(N54,O54),"ChatGPT",IF(EXACT(M54,O54),"Opus 5","Gemini")),"")</f>
        <v>Gemini</v>
      </c>
      <c r="R54" s="2" t="s">
        <v>75</v>
      </c>
      <c r="S54" s="2" t="s">
        <v>75</v>
      </c>
      <c r="T54" s="2" t="s">
        <v>74</v>
      </c>
      <c r="U54" s="2" t="n">
        <f aca="false">IF(AND(EXACT(R54,S54),EXACT(S54,T54)),3,IF(OR(EXACT(R54,S54),EXACT(R54,T54),EXACT(S54,T54)),2,1))</f>
        <v>2</v>
      </c>
      <c r="V54" s="2" t="str">
        <f aca="false">IF(U54=2,IF(EXACT(S54,T54),"ChatGPT",IF(EXACT(R54,T54),"Opus 5","Gemini")),"")</f>
        <v>Gemini</v>
      </c>
      <c r="W54" s="2" t="n">
        <f aca="false">3-EXACT(B54,C54)-EXACT(B54,D54)-EXACT(B54,E54)</f>
        <v>0</v>
      </c>
      <c r="X54" s="2" t="s">
        <v>277</v>
      </c>
      <c r="Y54" s="2" t="s">
        <v>92</v>
      </c>
      <c r="Z54" s="2" t="s">
        <v>278</v>
      </c>
    </row>
    <row r="55" customFormat="false" ht="15" hidden="false" customHeight="false" outlineLevel="0" collapsed="false">
      <c r="A55" s="2" t="n">
        <v>54</v>
      </c>
      <c r="B55" s="2" t="s">
        <v>279</v>
      </c>
      <c r="C55" s="2" t="s">
        <v>279</v>
      </c>
      <c r="D55" s="2" t="s">
        <v>279</v>
      </c>
      <c r="E55" s="2" t="s">
        <v>279</v>
      </c>
      <c r="F55" s="2" t="n">
        <f aca="false">IF(AND(EXACT(C55,D55),EXACT(D55,E55)),3,IF(OR(EXACT(C55,D55),EXACT(C55,E55),EXACT(D55,E55)),2,1))</f>
        <v>3</v>
      </c>
      <c r="G55" s="2" t="str">
        <f aca="false">IF(F55=2,IF(EXACT(D55,E55),"ChatGPT",IF(EXACT(C55,E55),"Opus 5","Gemini")),"")</f>
        <v/>
      </c>
      <c r="H55" s="2" t="s">
        <v>57</v>
      </c>
      <c r="I55" s="2" t="s">
        <v>80</v>
      </c>
      <c r="J55" s="2" t="s">
        <v>71</v>
      </c>
      <c r="K55" s="2" t="n">
        <f aca="false">IF(AND(EXACT(H55,I55),EXACT(I55,J55)),3,IF(OR(EXACT(H55,I55),EXACT(H55,J55),EXACT(I55,J55)),2,1))</f>
        <v>1</v>
      </c>
      <c r="L55" s="2" t="str">
        <f aca="false">IF(K55=2,IF(EXACT(I55,J55),"ChatGPT",IF(EXACT(H55,J55),"Opus 5","Gemini")),"")</f>
        <v/>
      </c>
      <c r="M55" s="2" t="s">
        <v>72</v>
      </c>
      <c r="N55" s="2" t="s">
        <v>72</v>
      </c>
      <c r="O55" s="2" t="s">
        <v>72</v>
      </c>
      <c r="P55" s="2" t="n">
        <f aca="false">IF(AND(EXACT(M55,N55),EXACT(N55,O55)),3,IF(OR(EXACT(M55,N55),EXACT(M55,O55),EXACT(N55,O55)),2,1))</f>
        <v>3</v>
      </c>
      <c r="Q55" s="2" t="str">
        <f aca="false">IF(P55=2,IF(EXACT(N55,O55),"ChatGPT",IF(EXACT(M55,O55),"Opus 5","Gemini")),"")</f>
        <v/>
      </c>
      <c r="R55" s="2" t="s">
        <v>74</v>
      </c>
      <c r="S55" s="2" t="s">
        <v>81</v>
      </c>
      <c r="T55" s="2" t="s">
        <v>74</v>
      </c>
      <c r="U55" s="2" t="n">
        <f aca="false">IF(AND(EXACT(R55,S55),EXACT(S55,T55)),3,IF(OR(EXACT(R55,S55),EXACT(R55,T55),EXACT(S55,T55)),2,1))</f>
        <v>2</v>
      </c>
      <c r="V55" s="2" t="str">
        <f aca="false">IF(U55=2,IF(EXACT(S55,T55),"ChatGPT",IF(EXACT(R55,T55),"Opus 5","Gemini")),"")</f>
        <v>Opus 5</v>
      </c>
      <c r="W55" s="2" t="n">
        <f aca="false">3-EXACT(B55,C55)-EXACT(B55,D55)-EXACT(B55,E55)</f>
        <v>0</v>
      </c>
      <c r="X55" s="2" t="s">
        <v>280</v>
      </c>
      <c r="Y55" s="2" t="s">
        <v>281</v>
      </c>
      <c r="Z55" s="2" t="s">
        <v>282</v>
      </c>
    </row>
    <row r="56" customFormat="false" ht="15" hidden="false" customHeight="false" outlineLevel="0" collapsed="false">
      <c r="A56" s="2" t="n">
        <v>55</v>
      </c>
      <c r="B56" s="2" t="s">
        <v>283</v>
      </c>
      <c r="C56" s="2" t="s">
        <v>283</v>
      </c>
      <c r="D56" s="2" t="s">
        <v>283</v>
      </c>
      <c r="E56" s="2" t="s">
        <v>283</v>
      </c>
      <c r="F56" s="2" t="n">
        <f aca="false">IF(AND(EXACT(C56,D56),EXACT(D56,E56)),3,IF(OR(EXACT(C56,D56),EXACT(C56,E56),EXACT(D56,E56)),2,1))</f>
        <v>3</v>
      </c>
      <c r="G56" s="2" t="str">
        <f aca="false">IF(F56=2,IF(EXACT(D56,E56),"ChatGPT",IF(EXACT(C56,E56),"Opus 5","Gemini")),"")</f>
        <v/>
      </c>
      <c r="H56" s="2" t="s">
        <v>57</v>
      </c>
      <c r="I56" s="2" t="s">
        <v>57</v>
      </c>
      <c r="J56" s="2" t="s">
        <v>71</v>
      </c>
      <c r="K56" s="2" t="n">
        <f aca="false">IF(AND(EXACT(H56,I56),EXACT(I56,J56)),3,IF(OR(EXACT(H56,I56),EXACT(H56,J56),EXACT(I56,J56)),2,1))</f>
        <v>2</v>
      </c>
      <c r="L56" s="2" t="str">
        <f aca="false">IF(K56=2,IF(EXACT(I56,J56),"ChatGPT",IF(EXACT(H56,J56),"Opus 5","Gemini")),"")</f>
        <v>Gemini</v>
      </c>
      <c r="M56" s="2" t="s">
        <v>72</v>
      </c>
      <c r="N56" s="2" t="s">
        <v>72</v>
      </c>
      <c r="O56" s="2" t="s">
        <v>72</v>
      </c>
      <c r="P56" s="2" t="n">
        <f aca="false">IF(AND(EXACT(M56,N56),EXACT(N56,O56)),3,IF(OR(EXACT(M56,N56),EXACT(M56,O56),EXACT(N56,O56)),2,1))</f>
        <v>3</v>
      </c>
      <c r="Q56" s="2" t="str">
        <f aca="false">IF(P56=2,IF(EXACT(N56,O56),"ChatGPT",IF(EXACT(M56,O56),"Opus 5","Gemini")),"")</f>
        <v/>
      </c>
      <c r="R56" s="2" t="s">
        <v>74</v>
      </c>
      <c r="S56" s="2" t="s">
        <v>60</v>
      </c>
      <c r="T56" s="2" t="s">
        <v>74</v>
      </c>
      <c r="U56" s="2" t="n">
        <f aca="false">IF(AND(EXACT(R56,S56),EXACT(S56,T56)),3,IF(OR(EXACT(R56,S56),EXACT(R56,T56),EXACT(S56,T56)),2,1))</f>
        <v>2</v>
      </c>
      <c r="V56" s="2" t="str">
        <f aca="false">IF(U56=2,IF(EXACT(S56,T56),"ChatGPT",IF(EXACT(R56,T56),"Opus 5","Gemini")),"")</f>
        <v>Opus 5</v>
      </c>
      <c r="W56" s="2" t="n">
        <f aca="false">3-EXACT(B56,C56)-EXACT(B56,D56)-EXACT(B56,E56)</f>
        <v>0</v>
      </c>
      <c r="X56" s="2" t="s">
        <v>284</v>
      </c>
      <c r="Y56" s="2" t="s">
        <v>218</v>
      </c>
      <c r="Z56" s="2" t="s">
        <v>219</v>
      </c>
    </row>
    <row r="57" customFormat="false" ht="15" hidden="false" customHeight="false" outlineLevel="0" collapsed="false">
      <c r="A57" s="2" t="n">
        <v>56</v>
      </c>
      <c r="B57" s="2" t="s">
        <v>285</v>
      </c>
      <c r="C57" s="2" t="s">
        <v>285</v>
      </c>
      <c r="D57" s="2" t="s">
        <v>285</v>
      </c>
      <c r="E57" s="2" t="s">
        <v>285</v>
      </c>
      <c r="F57" s="2" t="n">
        <f aca="false">IF(AND(EXACT(C57,D57),EXACT(D57,E57)),3,IF(OR(EXACT(C57,D57),EXACT(C57,E57),EXACT(D57,E57)),2,1))</f>
        <v>3</v>
      </c>
      <c r="G57" s="2" t="str">
        <f aca="false">IF(F57=2,IF(EXACT(D57,E57),"ChatGPT",IF(EXACT(C57,E57),"Opus 5","Gemini")),"")</f>
        <v/>
      </c>
      <c r="H57" s="2" t="s">
        <v>57</v>
      </c>
      <c r="I57" s="2" t="s">
        <v>57</v>
      </c>
      <c r="J57" s="2" t="s">
        <v>71</v>
      </c>
      <c r="K57" s="2" t="n">
        <f aca="false">IF(AND(EXACT(H57,I57),EXACT(I57,J57)),3,IF(OR(EXACT(H57,I57),EXACT(H57,J57),EXACT(I57,J57)),2,1))</f>
        <v>2</v>
      </c>
      <c r="L57" s="2" t="str">
        <f aca="false">IF(K57=2,IF(EXACT(I57,J57),"ChatGPT",IF(EXACT(H57,J57),"Opus 5","Gemini")),"")</f>
        <v>Gemini</v>
      </c>
      <c r="M57" s="2" t="s">
        <v>72</v>
      </c>
      <c r="N57" s="2" t="s">
        <v>72</v>
      </c>
      <c r="O57" s="2" t="s">
        <v>72</v>
      </c>
      <c r="P57" s="2" t="n">
        <f aca="false">IF(AND(EXACT(M57,N57),EXACT(N57,O57)),3,IF(OR(EXACT(M57,N57),EXACT(M57,O57),EXACT(N57,O57)),2,1))</f>
        <v>3</v>
      </c>
      <c r="Q57" s="2" t="str">
        <f aca="false">IF(P57=2,IF(EXACT(N57,O57),"ChatGPT",IF(EXACT(M57,O57),"Opus 5","Gemini")),"")</f>
        <v/>
      </c>
      <c r="R57" s="2" t="s">
        <v>74</v>
      </c>
      <c r="S57" s="2" t="s">
        <v>74</v>
      </c>
      <c r="T57" s="2" t="s">
        <v>74</v>
      </c>
      <c r="U57" s="2" t="n">
        <f aca="false">IF(AND(EXACT(R57,S57),EXACT(S57,T57)),3,IF(OR(EXACT(R57,S57),EXACT(R57,T57),EXACT(S57,T57)),2,1))</f>
        <v>3</v>
      </c>
      <c r="V57" s="2" t="str">
        <f aca="false">IF(U57=2,IF(EXACT(S57,T57),"ChatGPT",IF(EXACT(R57,T57),"Opus 5","Gemini")),"")</f>
        <v/>
      </c>
      <c r="W57" s="2" t="n">
        <f aca="false">3-EXACT(B57,C57)-EXACT(B57,D57)-EXACT(B57,E57)</f>
        <v>0</v>
      </c>
      <c r="X57" s="2" t="s">
        <v>286</v>
      </c>
      <c r="Y57" s="2" t="s">
        <v>137</v>
      </c>
      <c r="Z57" s="2" t="s">
        <v>138</v>
      </c>
    </row>
    <row r="58" customFormat="false" ht="15" hidden="false" customHeight="false" outlineLevel="0" collapsed="false">
      <c r="A58" s="2" t="n">
        <v>57</v>
      </c>
      <c r="B58" s="2" t="s">
        <v>287</v>
      </c>
      <c r="C58" s="2" t="s">
        <v>288</v>
      </c>
      <c r="D58" s="2" t="s">
        <v>287</v>
      </c>
      <c r="E58" s="2" t="s">
        <v>287</v>
      </c>
      <c r="F58" s="2" t="n">
        <f aca="false">IF(AND(EXACT(C58,D58),EXACT(D58,E58)),3,IF(OR(EXACT(C58,D58),EXACT(C58,E58),EXACT(D58,E58)),2,1))</f>
        <v>2</v>
      </c>
      <c r="G58" s="2" t="str">
        <f aca="false">IF(F58=2,IF(EXACT(D58,E58),"ChatGPT",IF(EXACT(C58,E58),"Opus 5","Gemini")),"")</f>
        <v>ChatGPT</v>
      </c>
      <c r="H58" s="2" t="s">
        <v>56</v>
      </c>
      <c r="I58" s="2" t="s">
        <v>80</v>
      </c>
      <c r="J58" s="2" t="s">
        <v>71</v>
      </c>
      <c r="K58" s="2" t="n">
        <f aca="false">IF(AND(EXACT(H58,I58),EXACT(I58,J58)),3,IF(OR(EXACT(H58,I58),EXACT(H58,J58),EXACT(I58,J58)),2,1))</f>
        <v>1</v>
      </c>
      <c r="L58" s="2" t="str">
        <f aca="false">IF(K58=2,IF(EXACT(I58,J58),"ChatGPT",IF(EXACT(H58,J58),"Opus 5","Gemini")),"")</f>
        <v/>
      </c>
      <c r="M58" s="2" t="s">
        <v>72</v>
      </c>
      <c r="N58" s="2" t="s">
        <v>72</v>
      </c>
      <c r="O58" s="2" t="s">
        <v>72</v>
      </c>
      <c r="P58" s="2" t="n">
        <f aca="false">IF(AND(EXACT(M58,N58),EXACT(N58,O58)),3,IF(OR(EXACT(M58,N58),EXACT(M58,O58),EXACT(N58,O58)),2,1))</f>
        <v>3</v>
      </c>
      <c r="Q58" s="2" t="str">
        <f aca="false">IF(P58=2,IF(EXACT(N58,O58),"ChatGPT",IF(EXACT(M58,O58),"Opus 5","Gemini")),"")</f>
        <v/>
      </c>
      <c r="R58" s="2" t="s">
        <v>59</v>
      </c>
      <c r="S58" s="2" t="s">
        <v>90</v>
      </c>
      <c r="T58" s="2" t="s">
        <v>74</v>
      </c>
      <c r="U58" s="2" t="n">
        <f aca="false">IF(AND(EXACT(R58,S58),EXACT(S58,T58)),3,IF(OR(EXACT(R58,S58),EXACT(R58,T58),EXACT(S58,T58)),2,1))</f>
        <v>1</v>
      </c>
      <c r="V58" s="2" t="str">
        <f aca="false">IF(U58=2,IF(EXACT(S58,T58),"ChatGPT",IF(EXACT(R58,T58),"Opus 5","Gemini")),"")</f>
        <v/>
      </c>
      <c r="W58" s="2" t="n">
        <f aca="false">3-EXACT(B58,C58)-EXACT(B58,D58)-EXACT(B58,E58)</f>
        <v>1</v>
      </c>
      <c r="X58" s="2" t="s">
        <v>289</v>
      </c>
      <c r="Y58" s="2" t="s">
        <v>281</v>
      </c>
      <c r="Z58" s="2" t="s">
        <v>290</v>
      </c>
    </row>
    <row r="59" customFormat="false" ht="15" hidden="false" customHeight="false" outlineLevel="0" collapsed="false">
      <c r="A59" s="2" t="n">
        <v>58</v>
      </c>
      <c r="B59" s="2" t="s">
        <v>291</v>
      </c>
      <c r="C59" s="2" t="s">
        <v>291</v>
      </c>
      <c r="D59" s="2" t="s">
        <v>291</v>
      </c>
      <c r="E59" s="2" t="s">
        <v>291</v>
      </c>
      <c r="F59" s="2" t="n">
        <f aca="false">IF(AND(EXACT(C59,D59),EXACT(D59,E59)),3,IF(OR(EXACT(C59,D59),EXACT(C59,E59),EXACT(D59,E59)),2,1))</f>
        <v>3</v>
      </c>
      <c r="G59" s="2" t="str">
        <f aca="false">IF(F59=2,IF(EXACT(D59,E59),"ChatGPT",IF(EXACT(C59,E59),"Opus 5","Gemini")),"")</f>
        <v/>
      </c>
      <c r="H59" s="2" t="s">
        <v>57</v>
      </c>
      <c r="I59" s="2" t="s">
        <v>57</v>
      </c>
      <c r="J59" s="2" t="s">
        <v>71</v>
      </c>
      <c r="K59" s="2" t="n">
        <f aca="false">IF(AND(EXACT(H59,I59),EXACT(I59,J59)),3,IF(OR(EXACT(H59,I59),EXACT(H59,J59),EXACT(I59,J59)),2,1))</f>
        <v>2</v>
      </c>
      <c r="L59" s="2" t="str">
        <f aca="false">IF(K59=2,IF(EXACT(I59,J59),"ChatGPT",IF(EXACT(H59,J59),"Opus 5","Gemini")),"")</f>
        <v>Gemini</v>
      </c>
      <c r="M59" s="2" t="s">
        <v>58</v>
      </c>
      <c r="N59" s="2" t="s">
        <v>58</v>
      </c>
      <c r="O59" s="2" t="s">
        <v>114</v>
      </c>
      <c r="P59" s="2" t="n">
        <f aca="false">IF(AND(EXACT(M59,N59),EXACT(N59,O59)),3,IF(OR(EXACT(M59,N59),EXACT(M59,O59),EXACT(N59,O59)),2,1))</f>
        <v>2</v>
      </c>
      <c r="Q59" s="2" t="str">
        <f aca="false">IF(P59=2,IF(EXACT(N59,O59),"ChatGPT",IF(EXACT(M59,O59),"Opus 5","Gemini")),"")</f>
        <v>Gemini</v>
      </c>
      <c r="R59" s="2" t="s">
        <v>66</v>
      </c>
      <c r="S59" s="2" t="s">
        <v>66</v>
      </c>
      <c r="T59" s="2" t="s">
        <v>66</v>
      </c>
      <c r="U59" s="2" t="n">
        <f aca="false">IF(AND(EXACT(R59,S59),EXACT(S59,T59)),3,IF(OR(EXACT(R59,S59),EXACT(R59,T59),EXACT(S59,T59)),2,1))</f>
        <v>3</v>
      </c>
      <c r="V59" s="2" t="str">
        <f aca="false">IF(U59=2,IF(EXACT(S59,T59),"ChatGPT",IF(EXACT(R59,T59),"Opus 5","Gemini")),"")</f>
        <v/>
      </c>
      <c r="W59" s="2" t="n">
        <f aca="false">3-EXACT(B59,C59)-EXACT(B59,D59)-EXACT(B59,E59)</f>
        <v>0</v>
      </c>
      <c r="X59" s="2" t="s">
        <v>292</v>
      </c>
      <c r="Y59" s="2" t="s">
        <v>293</v>
      </c>
      <c r="Z59" s="2" t="s">
        <v>294</v>
      </c>
    </row>
    <row r="60" customFormat="false" ht="15" hidden="false" customHeight="false" outlineLevel="0" collapsed="false">
      <c r="A60" s="2" t="n">
        <v>59</v>
      </c>
      <c r="B60" s="2" t="s">
        <v>295</v>
      </c>
      <c r="C60" s="2" t="s">
        <v>295</v>
      </c>
      <c r="D60" s="2" t="s">
        <v>295</v>
      </c>
      <c r="E60" s="2" t="s">
        <v>295</v>
      </c>
      <c r="F60" s="2" t="n">
        <f aca="false">IF(AND(EXACT(C60,D60),EXACT(D60,E60)),3,IF(OR(EXACT(C60,D60),EXACT(C60,E60),EXACT(D60,E60)),2,1))</f>
        <v>3</v>
      </c>
      <c r="G60" s="2" t="str">
        <f aca="false">IF(F60=2,IF(EXACT(D60,E60),"ChatGPT",IF(EXACT(C60,E60),"Opus 5","Gemini")),"")</f>
        <v/>
      </c>
      <c r="H60" s="2" t="s">
        <v>57</v>
      </c>
      <c r="I60" s="2" t="s">
        <v>57</v>
      </c>
      <c r="J60" s="2" t="s">
        <v>71</v>
      </c>
      <c r="K60" s="2" t="n">
        <f aca="false">IF(AND(EXACT(H60,I60),EXACT(I60,J60)),3,IF(OR(EXACT(H60,I60),EXACT(H60,J60),EXACT(I60,J60)),2,1))</f>
        <v>2</v>
      </c>
      <c r="L60" s="2" t="str">
        <f aca="false">IF(K60=2,IF(EXACT(I60,J60),"ChatGPT",IF(EXACT(H60,J60),"Opus 5","Gemini")),"")</f>
        <v>Gemini</v>
      </c>
      <c r="M60" s="2" t="s">
        <v>58</v>
      </c>
      <c r="N60" s="2" t="s">
        <v>58</v>
      </c>
      <c r="O60" s="2" t="s">
        <v>58</v>
      </c>
      <c r="P60" s="2" t="n">
        <f aca="false">IF(AND(EXACT(M60,N60),EXACT(N60,O60)),3,IF(OR(EXACT(M60,N60),EXACT(M60,O60),EXACT(N60,O60)),2,1))</f>
        <v>3</v>
      </c>
      <c r="Q60" s="2" t="str">
        <f aca="false">IF(P60=2,IF(EXACT(N60,O60),"ChatGPT",IF(EXACT(M60,O60),"Opus 5","Gemini")),"")</f>
        <v/>
      </c>
      <c r="R60" s="2" t="s">
        <v>61</v>
      </c>
      <c r="S60" s="2" t="s">
        <v>60</v>
      </c>
      <c r="T60" s="2" t="s">
        <v>61</v>
      </c>
      <c r="U60" s="2" t="n">
        <f aca="false">IF(AND(EXACT(R60,S60),EXACT(S60,T60)),3,IF(OR(EXACT(R60,S60),EXACT(R60,T60),EXACT(S60,T60)),2,1))</f>
        <v>2</v>
      </c>
      <c r="V60" s="2" t="str">
        <f aca="false">IF(U60=2,IF(EXACT(S60,T60),"ChatGPT",IF(EXACT(R60,T60),"Opus 5","Gemini")),"")</f>
        <v>Opus 5</v>
      </c>
      <c r="W60" s="2" t="n">
        <f aca="false">3-EXACT(B60,C60)-EXACT(B60,D60)-EXACT(B60,E60)</f>
        <v>0</v>
      </c>
      <c r="X60" s="2" t="s">
        <v>296</v>
      </c>
      <c r="Y60" s="2" t="s">
        <v>297</v>
      </c>
      <c r="Z60" s="2" t="s">
        <v>298</v>
      </c>
    </row>
    <row r="61" customFormat="false" ht="15" hidden="false" customHeight="false" outlineLevel="0" collapsed="false">
      <c r="A61" s="2" t="n">
        <v>60</v>
      </c>
      <c r="B61" s="2" t="s">
        <v>299</v>
      </c>
      <c r="C61" s="2" t="s">
        <v>299</v>
      </c>
      <c r="D61" s="2" t="s">
        <v>299</v>
      </c>
      <c r="E61" s="2" t="s">
        <v>299</v>
      </c>
      <c r="F61" s="2" t="n">
        <f aca="false">IF(AND(EXACT(C61,D61),EXACT(D61,E61)),3,IF(OR(EXACT(C61,D61),EXACT(C61,E61),EXACT(D61,E61)),2,1))</f>
        <v>3</v>
      </c>
      <c r="G61" s="2" t="str">
        <f aca="false">IF(F61=2,IF(EXACT(D61,E61),"ChatGPT",IF(EXACT(C61,E61),"Opus 5","Gemini")),"")</f>
        <v/>
      </c>
      <c r="H61" s="2" t="s">
        <v>57</v>
      </c>
      <c r="I61" s="2" t="s">
        <v>57</v>
      </c>
      <c r="J61" s="2" t="s">
        <v>57</v>
      </c>
      <c r="K61" s="2" t="n">
        <f aca="false">IF(AND(EXACT(H61,I61),EXACT(I61,J61)),3,IF(OR(EXACT(H61,I61),EXACT(H61,J61),EXACT(I61,J61)),2,1))</f>
        <v>3</v>
      </c>
      <c r="L61" s="2" t="str">
        <f aca="false">IF(K61=2,IF(EXACT(I61,J61),"ChatGPT",IF(EXACT(H61,J61),"Opus 5","Gemini")),"")</f>
        <v/>
      </c>
      <c r="M61" s="2" t="s">
        <v>58</v>
      </c>
      <c r="N61" s="2" t="s">
        <v>150</v>
      </c>
      <c r="O61" s="2" t="s">
        <v>72</v>
      </c>
      <c r="P61" s="2" t="n">
        <f aca="false">IF(AND(EXACT(M61,N61),EXACT(N61,O61)),3,IF(OR(EXACT(M61,N61),EXACT(M61,O61),EXACT(N61,O61)),2,1))</f>
        <v>1</v>
      </c>
      <c r="Q61" s="2" t="str">
        <f aca="false">IF(P61=2,IF(EXACT(N61,O61),"ChatGPT",IF(EXACT(M61,O61),"Opus 5","Gemini")),"")</f>
        <v/>
      </c>
      <c r="R61" s="2" t="s">
        <v>66</v>
      </c>
      <c r="S61" s="2" t="s">
        <v>151</v>
      </c>
      <c r="T61" s="2" t="s">
        <v>74</v>
      </c>
      <c r="U61" s="2" t="n">
        <f aca="false">IF(AND(EXACT(R61,S61),EXACT(S61,T61)),3,IF(OR(EXACT(R61,S61),EXACT(R61,T61),EXACT(S61,T61)),2,1))</f>
        <v>1</v>
      </c>
      <c r="V61" s="2" t="str">
        <f aca="false">IF(U61=2,IF(EXACT(S61,T61),"ChatGPT",IF(EXACT(R61,T61),"Opus 5","Gemini")),"")</f>
        <v/>
      </c>
      <c r="W61" s="2" t="n">
        <f aca="false">3-EXACT(B61,C61)-EXACT(B61,D61)-EXACT(B61,E61)</f>
        <v>0</v>
      </c>
      <c r="X61" s="2" t="s">
        <v>300</v>
      </c>
      <c r="Y61" s="2" t="s">
        <v>301</v>
      </c>
      <c r="Z61" s="2" t="s">
        <v>302</v>
      </c>
    </row>
    <row r="62" customFormat="false" ht="15" hidden="false" customHeight="false" outlineLevel="0" collapsed="false">
      <c r="A62" s="2" t="n">
        <v>61</v>
      </c>
      <c r="B62" s="2" t="s">
        <v>303</v>
      </c>
      <c r="C62" s="2" t="s">
        <v>303</v>
      </c>
      <c r="D62" s="2" t="s">
        <v>303</v>
      </c>
      <c r="E62" s="2" t="s">
        <v>304</v>
      </c>
      <c r="F62" s="2" t="n">
        <f aca="false">IF(AND(EXACT(C62,D62),EXACT(D62,E62)),3,IF(OR(EXACT(C62,D62),EXACT(C62,E62),EXACT(D62,E62)),2,1))</f>
        <v>2</v>
      </c>
      <c r="G62" s="2" t="str">
        <f aca="false">IF(F62=2,IF(EXACT(D62,E62),"ChatGPT",IF(EXACT(C62,E62),"Opus 5","Gemini")),"")</f>
        <v>Gemini</v>
      </c>
      <c r="H62" s="2" t="s">
        <v>71</v>
      </c>
      <c r="I62" s="2" t="s">
        <v>57</v>
      </c>
      <c r="J62" s="2" t="s">
        <v>56</v>
      </c>
      <c r="K62" s="2" t="n">
        <f aca="false">IF(AND(EXACT(H62,I62),EXACT(I62,J62)),3,IF(OR(EXACT(H62,I62),EXACT(H62,J62),EXACT(I62,J62)),2,1))</f>
        <v>1</v>
      </c>
      <c r="L62" s="2" t="str">
        <f aca="false">IF(K62=2,IF(EXACT(I62,J62),"ChatGPT",IF(EXACT(H62,J62),"Opus 5","Gemini")),"")</f>
        <v/>
      </c>
      <c r="M62" s="2" t="s">
        <v>88</v>
      </c>
      <c r="N62" s="2" t="s">
        <v>58</v>
      </c>
      <c r="O62" s="2" t="s">
        <v>72</v>
      </c>
      <c r="P62" s="2" t="n">
        <f aca="false">IF(AND(EXACT(M62,N62),EXACT(N62,O62)),3,IF(OR(EXACT(M62,N62),EXACT(M62,O62),EXACT(N62,O62)),2,1))</f>
        <v>1</v>
      </c>
      <c r="Q62" s="2" t="str">
        <f aca="false">IF(P62=2,IF(EXACT(N62,O62),"ChatGPT",IF(EXACT(M62,O62),"Opus 5","Gemini")),"")</f>
        <v/>
      </c>
      <c r="R62" s="2" t="s">
        <v>89</v>
      </c>
      <c r="S62" s="2" t="s">
        <v>61</v>
      </c>
      <c r="T62" s="2" t="s">
        <v>81</v>
      </c>
      <c r="U62" s="2" t="n">
        <f aca="false">IF(AND(EXACT(R62,S62),EXACT(S62,T62)),3,IF(OR(EXACT(R62,S62),EXACT(R62,T62),EXACT(S62,T62)),2,1))</f>
        <v>1</v>
      </c>
      <c r="V62" s="2" t="str">
        <f aca="false">IF(U62=2,IF(EXACT(S62,T62),"ChatGPT",IF(EXACT(R62,T62),"Opus 5","Gemini")),"")</f>
        <v/>
      </c>
      <c r="W62" s="2" t="n">
        <f aca="false">3-EXACT(B62,C62)-EXACT(B62,D62)-EXACT(B62,E62)</f>
        <v>1</v>
      </c>
      <c r="X62" s="2" t="s">
        <v>91</v>
      </c>
      <c r="Y62" s="2" t="s">
        <v>305</v>
      </c>
      <c r="Z62" s="2" t="s">
        <v>306</v>
      </c>
    </row>
    <row r="63" customFormat="false" ht="15" hidden="false" customHeight="false" outlineLevel="0" collapsed="false">
      <c r="A63" s="2" t="n">
        <v>62</v>
      </c>
      <c r="B63" s="2" t="s">
        <v>307</v>
      </c>
      <c r="C63" s="2" t="s">
        <v>308</v>
      </c>
      <c r="D63" s="2" t="s">
        <v>307</v>
      </c>
      <c r="E63" s="2" t="s">
        <v>307</v>
      </c>
      <c r="F63" s="2" t="n">
        <f aca="false">IF(AND(EXACT(C63,D63),EXACT(D63,E63)),3,IF(OR(EXACT(C63,D63),EXACT(C63,E63),EXACT(D63,E63)),2,1))</f>
        <v>2</v>
      </c>
      <c r="G63" s="2" t="str">
        <f aca="false">IF(F63=2,IF(EXACT(D63,E63),"ChatGPT",IF(EXACT(C63,E63),"Opus 5","Gemini")),"")</f>
        <v>ChatGPT</v>
      </c>
      <c r="H63" s="2" t="s">
        <v>56</v>
      </c>
      <c r="I63" s="2" t="s">
        <v>57</v>
      </c>
      <c r="J63" s="2" t="s">
        <v>57</v>
      </c>
      <c r="K63" s="2" t="n">
        <f aca="false">IF(AND(EXACT(H63,I63),EXACT(I63,J63)),3,IF(OR(EXACT(H63,I63),EXACT(H63,J63),EXACT(I63,J63)),2,1))</f>
        <v>2</v>
      </c>
      <c r="L63" s="2" t="str">
        <f aca="false">IF(K63=2,IF(EXACT(I63,J63),"ChatGPT",IF(EXACT(H63,J63),"Opus 5","Gemini")),"")</f>
        <v>ChatGPT</v>
      </c>
      <c r="M63" s="2" t="s">
        <v>58</v>
      </c>
      <c r="N63" s="2" t="s">
        <v>58</v>
      </c>
      <c r="O63" s="2" t="s">
        <v>73</v>
      </c>
      <c r="P63" s="2" t="n">
        <f aca="false">IF(AND(EXACT(M63,N63),EXACT(N63,O63)),3,IF(OR(EXACT(M63,N63),EXACT(M63,O63),EXACT(N63,O63)),2,1))</f>
        <v>2</v>
      </c>
      <c r="Q63" s="2" t="str">
        <f aca="false">IF(P63=2,IF(EXACT(N63,O63),"ChatGPT",IF(EXACT(M63,O63),"Opus 5","Gemini")),"")</f>
        <v>Gemini</v>
      </c>
      <c r="R63" s="2" t="s">
        <v>59</v>
      </c>
      <c r="S63" s="2" t="s">
        <v>60</v>
      </c>
      <c r="T63" s="2" t="s">
        <v>75</v>
      </c>
      <c r="U63" s="2" t="n">
        <f aca="false">IF(AND(EXACT(R63,S63),EXACT(S63,T63)),3,IF(OR(EXACT(R63,S63),EXACT(R63,T63),EXACT(S63,T63)),2,1))</f>
        <v>1</v>
      </c>
      <c r="V63" s="2" t="str">
        <f aca="false">IF(U63=2,IF(EXACT(S63,T63),"ChatGPT",IF(EXACT(R63,T63),"Opus 5","Gemini")),"")</f>
        <v/>
      </c>
      <c r="W63" s="2" t="n">
        <f aca="false">3-EXACT(B63,C63)-EXACT(B63,D63)-EXACT(B63,E63)</f>
        <v>1</v>
      </c>
      <c r="X63" s="2" t="s">
        <v>309</v>
      </c>
      <c r="Y63" s="2" t="s">
        <v>310</v>
      </c>
      <c r="Z63" s="2" t="s">
        <v>311</v>
      </c>
    </row>
    <row r="64" customFormat="false" ht="15" hidden="false" customHeight="false" outlineLevel="0" collapsed="false">
      <c r="A64" s="2" t="n">
        <v>63</v>
      </c>
      <c r="B64" s="2" t="s">
        <v>312</v>
      </c>
      <c r="C64" s="2" t="s">
        <v>313</v>
      </c>
      <c r="D64" s="2" t="s">
        <v>314</v>
      </c>
      <c r="E64" s="2" t="s">
        <v>312</v>
      </c>
      <c r="F64" s="2" t="n">
        <f aca="false">IF(AND(EXACT(C64,D64),EXACT(D64,E64)),3,IF(OR(EXACT(C64,D64),EXACT(C64,E64),EXACT(D64,E64)),2,1))</f>
        <v>1</v>
      </c>
      <c r="G64" s="2" t="str">
        <f aca="false">IF(F64=2,IF(EXACT(D64,E64),"ChatGPT",IF(EXACT(C64,E64),"Opus 5","Gemini")),"")</f>
        <v/>
      </c>
      <c r="H64" s="2" t="s">
        <v>56</v>
      </c>
      <c r="I64" s="2" t="s">
        <v>56</v>
      </c>
      <c r="J64" s="2" t="s">
        <v>71</v>
      </c>
      <c r="K64" s="2" t="n">
        <f aca="false">IF(AND(EXACT(H64,I64),EXACT(I64,J64)),3,IF(OR(EXACT(H64,I64),EXACT(H64,J64),EXACT(I64,J64)),2,1))</f>
        <v>2</v>
      </c>
      <c r="L64" s="2" t="str">
        <f aca="false">IF(K64=2,IF(EXACT(I64,J64),"ChatGPT",IF(EXACT(H64,J64),"Opus 5","Gemini")),"")</f>
        <v>Gemini</v>
      </c>
      <c r="M64" s="2" t="s">
        <v>72</v>
      </c>
      <c r="N64" s="2" t="s">
        <v>73</v>
      </c>
      <c r="O64" s="2" t="s">
        <v>73</v>
      </c>
      <c r="P64" s="2" t="n">
        <f aca="false">IF(AND(EXACT(M64,N64),EXACT(N64,O64)),3,IF(OR(EXACT(M64,N64),EXACT(M64,O64),EXACT(N64,O64)),2,1))</f>
        <v>2</v>
      </c>
      <c r="Q64" s="2" t="str">
        <f aca="false">IF(P64=2,IF(EXACT(N64,O64),"ChatGPT",IF(EXACT(M64,O64),"Opus 5","Gemini")),"")</f>
        <v>ChatGPT</v>
      </c>
      <c r="R64" s="2" t="s">
        <v>59</v>
      </c>
      <c r="S64" s="2" t="s">
        <v>59</v>
      </c>
      <c r="T64" s="2" t="s">
        <v>75</v>
      </c>
      <c r="U64" s="2" t="n">
        <f aca="false">IF(AND(EXACT(R64,S64),EXACT(S64,T64)),3,IF(OR(EXACT(R64,S64),EXACT(R64,T64),EXACT(S64,T64)),2,1))</f>
        <v>2</v>
      </c>
      <c r="V64" s="2" t="str">
        <f aca="false">IF(U64=2,IF(EXACT(S64,T64),"ChatGPT",IF(EXACT(R64,T64),"Opus 5","Gemini")),"")</f>
        <v>Gemini</v>
      </c>
      <c r="W64" s="2" t="n">
        <f aca="false">3-EXACT(B64,C64)-EXACT(B64,D64)-EXACT(B64,E64)</f>
        <v>2</v>
      </c>
      <c r="X64" s="2" t="s">
        <v>315</v>
      </c>
      <c r="Y64" s="2" t="s">
        <v>311</v>
      </c>
      <c r="Z64" s="2" t="s">
        <v>311</v>
      </c>
    </row>
    <row r="65" customFormat="false" ht="15" hidden="false" customHeight="false" outlineLevel="0" collapsed="false">
      <c r="A65" s="2" t="n">
        <v>64</v>
      </c>
      <c r="B65" s="2" t="s">
        <v>316</v>
      </c>
      <c r="C65" s="2" t="s">
        <v>316</v>
      </c>
      <c r="D65" s="2" t="s">
        <v>316</v>
      </c>
      <c r="E65" s="2" t="s">
        <v>316</v>
      </c>
      <c r="F65" s="2" t="n">
        <f aca="false">IF(AND(EXACT(C65,D65),EXACT(D65,E65)),3,IF(OR(EXACT(C65,D65),EXACT(C65,E65),EXACT(D65,E65)),2,1))</f>
        <v>3</v>
      </c>
      <c r="G65" s="2" t="str">
        <f aca="false">IF(F65=2,IF(EXACT(D65,E65),"ChatGPT",IF(EXACT(C65,E65),"Opus 5","Gemini")),"")</f>
        <v/>
      </c>
      <c r="H65" s="2" t="s">
        <v>57</v>
      </c>
      <c r="I65" s="2" t="s">
        <v>57</v>
      </c>
      <c r="J65" s="2" t="s">
        <v>57</v>
      </c>
      <c r="K65" s="2" t="n">
        <f aca="false">IF(AND(EXACT(H65,I65),EXACT(I65,J65)),3,IF(OR(EXACT(H65,I65),EXACT(H65,J65),EXACT(I65,J65)),2,1))</f>
        <v>3</v>
      </c>
      <c r="L65" s="2" t="str">
        <f aca="false">IF(K65=2,IF(EXACT(I65,J65),"ChatGPT",IF(EXACT(H65,J65),"Opus 5","Gemini")),"")</f>
        <v/>
      </c>
      <c r="M65" s="2" t="s">
        <v>58</v>
      </c>
      <c r="N65" s="2" t="s">
        <v>58</v>
      </c>
      <c r="O65" s="2" t="s">
        <v>72</v>
      </c>
      <c r="P65" s="2" t="n">
        <f aca="false">IF(AND(EXACT(M65,N65),EXACT(N65,O65)),3,IF(OR(EXACT(M65,N65),EXACT(M65,O65),EXACT(N65,O65)),2,1))</f>
        <v>2</v>
      </c>
      <c r="Q65" s="2" t="str">
        <f aca="false">IF(P65=2,IF(EXACT(N65,O65),"ChatGPT",IF(EXACT(M65,O65),"Opus 5","Gemini")),"")</f>
        <v>Gemini</v>
      </c>
      <c r="R65" s="2" t="s">
        <v>61</v>
      </c>
      <c r="S65" s="2" t="s">
        <v>60</v>
      </c>
      <c r="T65" s="2" t="s">
        <v>74</v>
      </c>
      <c r="U65" s="2" t="n">
        <f aca="false">IF(AND(EXACT(R65,S65),EXACT(S65,T65)),3,IF(OR(EXACT(R65,S65),EXACT(R65,T65),EXACT(S65,T65)),2,1))</f>
        <v>1</v>
      </c>
      <c r="V65" s="2" t="str">
        <f aca="false">IF(U65=2,IF(EXACT(S65,T65),"ChatGPT",IF(EXACT(R65,T65),"Opus 5","Gemini")),"")</f>
        <v/>
      </c>
      <c r="W65" s="2" t="n">
        <f aca="false">3-EXACT(B65,C65)-EXACT(B65,D65)-EXACT(B65,E65)</f>
        <v>0</v>
      </c>
      <c r="X65" s="2" t="s">
        <v>317</v>
      </c>
      <c r="Y65" s="2" t="s">
        <v>318</v>
      </c>
      <c r="Z65" s="2" t="s">
        <v>219</v>
      </c>
    </row>
    <row r="66" customFormat="false" ht="15" hidden="false" customHeight="false" outlineLevel="0" collapsed="false">
      <c r="A66" s="2" t="n">
        <v>65</v>
      </c>
      <c r="B66" s="2" t="s">
        <v>319</v>
      </c>
      <c r="C66" s="2" t="s">
        <v>319</v>
      </c>
      <c r="D66" s="2" t="s">
        <v>319</v>
      </c>
      <c r="E66" s="2" t="s">
        <v>319</v>
      </c>
      <c r="F66" s="2" t="n">
        <f aca="false">IF(AND(EXACT(C66,D66),EXACT(D66,E66)),3,IF(OR(EXACT(C66,D66),EXACT(C66,E66),EXACT(D66,E66)),2,1))</f>
        <v>3</v>
      </c>
      <c r="G66" s="2" t="str">
        <f aca="false">IF(F66=2,IF(EXACT(D66,E66),"ChatGPT",IF(EXACT(C66,E66),"Opus 5","Gemini")),"")</f>
        <v/>
      </c>
      <c r="H66" s="2" t="s">
        <v>57</v>
      </c>
      <c r="I66" s="2" t="s">
        <v>57</v>
      </c>
      <c r="J66" s="2" t="s">
        <v>71</v>
      </c>
      <c r="K66" s="2" t="n">
        <f aca="false">IF(AND(EXACT(H66,I66),EXACT(I66,J66)),3,IF(OR(EXACT(H66,I66),EXACT(H66,J66),EXACT(I66,J66)),2,1))</f>
        <v>2</v>
      </c>
      <c r="L66" s="2" t="str">
        <f aca="false">IF(K66=2,IF(EXACT(I66,J66),"ChatGPT",IF(EXACT(H66,J66),"Opus 5","Gemini")),"")</f>
        <v>Gemini</v>
      </c>
      <c r="M66" s="2" t="s">
        <v>58</v>
      </c>
      <c r="N66" s="2" t="s">
        <v>58</v>
      </c>
      <c r="O66" s="2" t="s">
        <v>114</v>
      </c>
      <c r="P66" s="2" t="n">
        <f aca="false">IF(AND(EXACT(M66,N66),EXACT(N66,O66)),3,IF(OR(EXACT(M66,N66),EXACT(M66,O66),EXACT(N66,O66)),2,1))</f>
        <v>2</v>
      </c>
      <c r="Q66" s="2" t="str">
        <f aca="false">IF(P66=2,IF(EXACT(N66,O66),"ChatGPT",IF(EXACT(M66,O66),"Opus 5","Gemini")),"")</f>
        <v>Gemini</v>
      </c>
      <c r="R66" s="2" t="s">
        <v>66</v>
      </c>
      <c r="S66" s="2" t="s">
        <v>66</v>
      </c>
      <c r="T66" s="2" t="s">
        <v>66</v>
      </c>
      <c r="U66" s="2" t="n">
        <f aca="false">IF(AND(EXACT(R66,S66),EXACT(S66,T66)),3,IF(OR(EXACT(R66,S66),EXACT(R66,T66),EXACT(S66,T66)),2,1))</f>
        <v>3</v>
      </c>
      <c r="V66" s="2" t="str">
        <f aca="false">IF(U66=2,IF(EXACT(S66,T66),"ChatGPT",IF(EXACT(R66,T66),"Opus 5","Gemini")),"")</f>
        <v/>
      </c>
      <c r="W66" s="2" t="n">
        <f aca="false">3-EXACT(B66,C66)-EXACT(B66,D66)-EXACT(B66,E66)</f>
        <v>0</v>
      </c>
      <c r="X66" s="2" t="s">
        <v>320</v>
      </c>
      <c r="Y66" s="2" t="s">
        <v>321</v>
      </c>
      <c r="Z66" s="2" t="s">
        <v>322</v>
      </c>
    </row>
    <row r="67" customFormat="false" ht="15" hidden="false" customHeight="false" outlineLevel="0" collapsed="false">
      <c r="A67" s="2" t="n">
        <v>66</v>
      </c>
      <c r="B67" s="2" t="s">
        <v>323</v>
      </c>
      <c r="C67" s="2" t="s">
        <v>323</v>
      </c>
      <c r="D67" s="2" t="s">
        <v>323</v>
      </c>
      <c r="E67" s="2" t="s">
        <v>323</v>
      </c>
      <c r="F67" s="2" t="n">
        <f aca="false">IF(AND(EXACT(C67,D67),EXACT(D67,E67)),3,IF(OR(EXACT(C67,D67),EXACT(C67,E67),EXACT(D67,E67)),2,1))</f>
        <v>3</v>
      </c>
      <c r="G67" s="2" t="str">
        <f aca="false">IF(F67=2,IF(EXACT(D67,E67),"ChatGPT",IF(EXACT(C67,E67),"Opus 5","Gemini")),"")</f>
        <v/>
      </c>
      <c r="H67" s="2" t="s">
        <v>57</v>
      </c>
      <c r="I67" s="2" t="s">
        <v>57</v>
      </c>
      <c r="J67" s="2" t="s">
        <v>71</v>
      </c>
      <c r="K67" s="2" t="n">
        <f aca="false">IF(AND(EXACT(H67,I67),EXACT(I67,J67)),3,IF(OR(EXACT(H67,I67),EXACT(H67,J67),EXACT(I67,J67)),2,1))</f>
        <v>2</v>
      </c>
      <c r="L67" s="2" t="str">
        <f aca="false">IF(K67=2,IF(EXACT(I67,J67),"ChatGPT",IF(EXACT(H67,J67),"Opus 5","Gemini")),"")</f>
        <v>Gemini</v>
      </c>
      <c r="M67" s="2" t="s">
        <v>58</v>
      </c>
      <c r="N67" s="2" t="s">
        <v>58</v>
      </c>
      <c r="O67" s="2" t="s">
        <v>58</v>
      </c>
      <c r="P67" s="2" t="n">
        <f aca="false">IF(AND(EXACT(M67,N67),EXACT(N67,O67)),3,IF(OR(EXACT(M67,N67),EXACT(M67,O67),EXACT(N67,O67)),2,1))</f>
        <v>3</v>
      </c>
      <c r="Q67" s="2" t="str">
        <f aca="false">IF(P67=2,IF(EXACT(N67,O67),"ChatGPT",IF(EXACT(M67,O67),"Opus 5","Gemini")),"")</f>
        <v/>
      </c>
      <c r="R67" s="2" t="s">
        <v>66</v>
      </c>
      <c r="S67" s="2" t="s">
        <v>66</v>
      </c>
      <c r="T67" s="2" t="s">
        <v>61</v>
      </c>
      <c r="U67" s="2" t="n">
        <f aca="false">IF(AND(EXACT(R67,S67),EXACT(S67,T67)),3,IF(OR(EXACT(R67,S67),EXACT(R67,T67),EXACT(S67,T67)),2,1))</f>
        <v>2</v>
      </c>
      <c r="V67" s="2" t="str">
        <f aca="false">IF(U67=2,IF(EXACT(S67,T67),"ChatGPT",IF(EXACT(R67,T67),"Opus 5","Gemini")),"")</f>
        <v>Gemini</v>
      </c>
      <c r="W67" s="2" t="n">
        <f aca="false">3-EXACT(B67,C67)-EXACT(B67,D67)-EXACT(B67,E67)</f>
        <v>0</v>
      </c>
      <c r="X67" s="2" t="s">
        <v>324</v>
      </c>
      <c r="Y67" s="2" t="s">
        <v>325</v>
      </c>
      <c r="Z67" s="2" t="s">
        <v>326</v>
      </c>
    </row>
    <row r="68" customFormat="false" ht="15" hidden="false" customHeight="false" outlineLevel="0" collapsed="false">
      <c r="A68" s="2" t="n">
        <v>67</v>
      </c>
      <c r="B68" s="2" t="s">
        <v>327</v>
      </c>
      <c r="C68" s="2" t="s">
        <v>327</v>
      </c>
      <c r="D68" s="2" t="s">
        <v>327</v>
      </c>
      <c r="E68" s="2" t="s">
        <v>327</v>
      </c>
      <c r="F68" s="2" t="n">
        <f aca="false">IF(AND(EXACT(C68,D68),EXACT(D68,E68)),3,IF(OR(EXACT(C68,D68),EXACT(C68,E68),EXACT(D68,E68)),2,1))</f>
        <v>3</v>
      </c>
      <c r="G68" s="2" t="str">
        <f aca="false">IF(F68=2,IF(EXACT(D68,E68),"ChatGPT",IF(EXACT(C68,E68),"Opus 5","Gemini")),"")</f>
        <v/>
      </c>
      <c r="H68" s="2" t="s">
        <v>57</v>
      </c>
      <c r="I68" s="2" t="s">
        <v>57</v>
      </c>
      <c r="J68" s="2" t="s">
        <v>57</v>
      </c>
      <c r="K68" s="2" t="n">
        <f aca="false">IF(AND(EXACT(H68,I68),EXACT(I68,J68)),3,IF(OR(EXACT(H68,I68),EXACT(H68,J68),EXACT(I68,J68)),2,1))</f>
        <v>3</v>
      </c>
      <c r="L68" s="2" t="str">
        <f aca="false">IF(K68=2,IF(EXACT(I68,J68),"ChatGPT",IF(EXACT(H68,J68),"Opus 5","Gemini")),"")</f>
        <v/>
      </c>
      <c r="M68" s="2" t="s">
        <v>150</v>
      </c>
      <c r="N68" s="2" t="s">
        <v>150</v>
      </c>
      <c r="O68" s="2" t="s">
        <v>72</v>
      </c>
      <c r="P68" s="2" t="n">
        <f aca="false">IF(AND(EXACT(M68,N68),EXACT(N68,O68)),3,IF(OR(EXACT(M68,N68),EXACT(M68,O68),EXACT(N68,O68)),2,1))</f>
        <v>2</v>
      </c>
      <c r="Q68" s="2" t="str">
        <f aca="false">IF(P68=2,IF(EXACT(N68,O68),"ChatGPT",IF(EXACT(M68,O68),"Opus 5","Gemini")),"")</f>
        <v>Gemini</v>
      </c>
      <c r="R68" s="2" t="s">
        <v>151</v>
      </c>
      <c r="S68" s="2" t="s">
        <v>151</v>
      </c>
      <c r="T68" s="2" t="s">
        <v>74</v>
      </c>
      <c r="U68" s="2" t="n">
        <f aca="false">IF(AND(EXACT(R68,S68),EXACT(S68,T68)),3,IF(OR(EXACT(R68,S68),EXACT(R68,T68),EXACT(S68,T68)),2,1))</f>
        <v>2</v>
      </c>
      <c r="V68" s="2" t="str">
        <f aca="false">IF(U68=2,IF(EXACT(S68,T68),"ChatGPT",IF(EXACT(R68,T68),"Opus 5","Gemini")),"")</f>
        <v>Gemini</v>
      </c>
      <c r="W68" s="2" t="n">
        <f aca="false">3-EXACT(B68,C68)-EXACT(B68,D68)-EXACT(B68,E68)</f>
        <v>0</v>
      </c>
      <c r="X68" s="2" t="s">
        <v>328</v>
      </c>
      <c r="Y68" s="2" t="s">
        <v>329</v>
      </c>
      <c r="Z68" s="2" t="s">
        <v>330</v>
      </c>
    </row>
    <row r="69" customFormat="false" ht="15" hidden="false" customHeight="false" outlineLevel="0" collapsed="false">
      <c r="A69" s="2" t="n">
        <v>68</v>
      </c>
      <c r="B69" s="2" t="s">
        <v>331</v>
      </c>
      <c r="C69" s="2" t="s">
        <v>331</v>
      </c>
      <c r="D69" s="2" t="s">
        <v>332</v>
      </c>
      <c r="E69" s="2" t="s">
        <v>331</v>
      </c>
      <c r="F69" s="2" t="n">
        <f aca="false">IF(AND(EXACT(C69,D69),EXACT(D69,E69)),3,IF(OR(EXACT(C69,D69),EXACT(C69,E69),EXACT(D69,E69)),2,1))</f>
        <v>2</v>
      </c>
      <c r="G69" s="2" t="str">
        <f aca="false">IF(F69=2,IF(EXACT(D69,E69),"ChatGPT",IF(EXACT(C69,E69),"Opus 5","Gemini")),"")</f>
        <v>Opus 5</v>
      </c>
      <c r="H69" s="2" t="s">
        <v>57</v>
      </c>
      <c r="I69" s="2" t="s">
        <v>56</v>
      </c>
      <c r="J69" s="2" t="s">
        <v>57</v>
      </c>
      <c r="K69" s="2" t="n">
        <f aca="false">IF(AND(EXACT(H69,I69),EXACT(I69,J69)),3,IF(OR(EXACT(H69,I69),EXACT(H69,J69),EXACT(I69,J69)),2,1))</f>
        <v>2</v>
      </c>
      <c r="L69" s="2" t="str">
        <f aca="false">IF(K69=2,IF(EXACT(I69,J69),"ChatGPT",IF(EXACT(H69,J69),"Opus 5","Gemini")),"")</f>
        <v>Opus 5</v>
      </c>
      <c r="M69" s="2" t="s">
        <v>72</v>
      </c>
      <c r="N69" s="2" t="s">
        <v>150</v>
      </c>
      <c r="O69" s="2" t="s">
        <v>72</v>
      </c>
      <c r="P69" s="2" t="n">
        <f aca="false">IF(AND(EXACT(M69,N69),EXACT(N69,O69)),3,IF(OR(EXACT(M69,N69),EXACT(M69,O69),EXACT(N69,O69)),2,1))</f>
        <v>2</v>
      </c>
      <c r="Q69" s="2" t="str">
        <f aca="false">IF(P69=2,IF(EXACT(N69,O69),"ChatGPT",IF(EXACT(M69,O69),"Opus 5","Gemini")),"")</f>
        <v>Opus 5</v>
      </c>
      <c r="R69" s="2" t="s">
        <v>74</v>
      </c>
      <c r="S69" s="2" t="s">
        <v>151</v>
      </c>
      <c r="T69" s="2" t="s">
        <v>74</v>
      </c>
      <c r="U69" s="2" t="n">
        <f aca="false">IF(AND(EXACT(R69,S69),EXACT(S69,T69)),3,IF(OR(EXACT(R69,S69),EXACT(R69,T69),EXACT(S69,T69)),2,1))</f>
        <v>2</v>
      </c>
      <c r="V69" s="2" t="str">
        <f aca="false">IF(U69=2,IF(EXACT(S69,T69),"ChatGPT",IF(EXACT(R69,T69),"Opus 5","Gemini")),"")</f>
        <v>Opus 5</v>
      </c>
      <c r="W69" s="2" t="n">
        <f aca="false">3-EXACT(B69,C69)-EXACT(B69,D69)-EXACT(B69,E69)</f>
        <v>1</v>
      </c>
      <c r="X69" s="2" t="s">
        <v>333</v>
      </c>
      <c r="Y69" s="2" t="s">
        <v>329</v>
      </c>
      <c r="Z69" s="2" t="s">
        <v>330</v>
      </c>
    </row>
    <row r="70" customFormat="false" ht="15" hidden="false" customHeight="false" outlineLevel="0" collapsed="false">
      <c r="A70" s="2" t="n">
        <v>69</v>
      </c>
      <c r="B70" s="2" t="s">
        <v>334</v>
      </c>
      <c r="C70" s="2" t="s">
        <v>335</v>
      </c>
      <c r="D70" s="2" t="s">
        <v>336</v>
      </c>
      <c r="E70" s="2" t="s">
        <v>334</v>
      </c>
      <c r="F70" s="2" t="n">
        <f aca="false">IF(AND(EXACT(C70,D70),EXACT(D70,E70)),3,IF(OR(EXACT(C70,D70),EXACT(C70,E70),EXACT(D70,E70)),2,1))</f>
        <v>1</v>
      </c>
      <c r="G70" s="2" t="str">
        <f aca="false">IF(F70=2,IF(EXACT(D70,E70),"ChatGPT",IF(EXACT(C70,E70),"Opus 5","Gemini")),"")</f>
        <v/>
      </c>
      <c r="H70" s="2" t="s">
        <v>56</v>
      </c>
      <c r="I70" s="2" t="s">
        <v>56</v>
      </c>
      <c r="J70" s="2" t="s">
        <v>57</v>
      </c>
      <c r="K70" s="2" t="n">
        <f aca="false">IF(AND(EXACT(H70,I70),EXACT(I70,J70)),3,IF(OR(EXACT(H70,I70),EXACT(H70,J70),EXACT(I70,J70)),2,1))</f>
        <v>2</v>
      </c>
      <c r="L70" s="2" t="str">
        <f aca="false">IF(K70=2,IF(EXACT(I70,J70),"ChatGPT",IF(EXACT(H70,J70),"Opus 5","Gemini")),"")</f>
        <v>Gemini</v>
      </c>
      <c r="M70" s="2" t="s">
        <v>58</v>
      </c>
      <c r="N70" s="2" t="s">
        <v>58</v>
      </c>
      <c r="O70" s="2" t="s">
        <v>72</v>
      </c>
      <c r="P70" s="2" t="n">
        <f aca="false">IF(AND(EXACT(M70,N70),EXACT(N70,O70)),3,IF(OR(EXACT(M70,N70),EXACT(M70,O70),EXACT(N70,O70)),2,1))</f>
        <v>2</v>
      </c>
      <c r="Q70" s="2" t="str">
        <f aca="false">IF(P70=2,IF(EXACT(N70,O70),"ChatGPT",IF(EXACT(M70,O70),"Opus 5","Gemini")),"")</f>
        <v>Gemini</v>
      </c>
      <c r="R70" s="2" t="s">
        <v>59</v>
      </c>
      <c r="S70" s="2" t="s">
        <v>59</v>
      </c>
      <c r="T70" s="2" t="s">
        <v>74</v>
      </c>
      <c r="U70" s="2" t="n">
        <f aca="false">IF(AND(EXACT(R70,S70),EXACT(S70,T70)),3,IF(OR(EXACT(R70,S70),EXACT(R70,T70),EXACT(S70,T70)),2,1))</f>
        <v>2</v>
      </c>
      <c r="V70" s="2" t="str">
        <f aca="false">IF(U70=2,IF(EXACT(S70,T70),"ChatGPT",IF(EXACT(R70,T70),"Opus 5","Gemini")),"")</f>
        <v>Gemini</v>
      </c>
      <c r="W70" s="2" t="n">
        <f aca="false">3-EXACT(B70,C70)-EXACT(B70,D70)-EXACT(B70,E70)</f>
        <v>2</v>
      </c>
      <c r="X70" s="2" t="s">
        <v>337</v>
      </c>
      <c r="Y70" s="2" t="s">
        <v>338</v>
      </c>
      <c r="Z70" s="2" t="s">
        <v>219</v>
      </c>
    </row>
    <row r="71" customFormat="false" ht="15" hidden="false" customHeight="false" outlineLevel="0" collapsed="false">
      <c r="A71" s="2" t="n">
        <v>70</v>
      </c>
      <c r="B71" s="2" t="s">
        <v>339</v>
      </c>
      <c r="C71" s="2" t="s">
        <v>339</v>
      </c>
      <c r="D71" s="2" t="s">
        <v>339</v>
      </c>
      <c r="E71" s="2" t="s">
        <v>339</v>
      </c>
      <c r="F71" s="2" t="n">
        <f aca="false">IF(AND(EXACT(C71,D71),EXACT(D71,E71)),3,IF(OR(EXACT(C71,D71),EXACT(C71,E71),EXACT(D71,E71)),2,1))</f>
        <v>3</v>
      </c>
      <c r="G71" s="2" t="str">
        <f aca="false">IF(F71=2,IF(EXACT(D71,E71),"ChatGPT",IF(EXACT(C71,E71),"Opus 5","Gemini")),"")</f>
        <v/>
      </c>
      <c r="H71" s="2" t="s">
        <v>71</v>
      </c>
      <c r="I71" s="2" t="s">
        <v>71</v>
      </c>
      <c r="J71" s="2" t="s">
        <v>71</v>
      </c>
      <c r="K71" s="2" t="n">
        <f aca="false">IF(AND(EXACT(H71,I71),EXACT(I71,J71)),3,IF(OR(EXACT(H71,I71),EXACT(H71,J71),EXACT(I71,J71)),2,1))</f>
        <v>3</v>
      </c>
      <c r="L71" s="2" t="str">
        <f aca="false">IF(K71=2,IF(EXACT(I71,J71),"ChatGPT",IF(EXACT(H71,J71),"Opus 5","Gemini")),"")</f>
        <v/>
      </c>
      <c r="M71" s="2" t="s">
        <v>73</v>
      </c>
      <c r="N71" s="2" t="s">
        <v>73</v>
      </c>
      <c r="O71" s="2" t="s">
        <v>72</v>
      </c>
      <c r="P71" s="2" t="n">
        <f aca="false">IF(AND(EXACT(M71,N71),EXACT(N71,O71)),3,IF(OR(EXACT(M71,N71),EXACT(M71,O71),EXACT(N71,O71)),2,1))</f>
        <v>2</v>
      </c>
      <c r="Q71" s="2" t="str">
        <f aca="false">IF(P71=2,IF(EXACT(N71,O71),"ChatGPT",IF(EXACT(M71,O71),"Opus 5","Gemini")),"")</f>
        <v>Gemini</v>
      </c>
      <c r="R71" s="2" t="s">
        <v>75</v>
      </c>
      <c r="S71" s="2" t="s">
        <v>75</v>
      </c>
      <c r="T71" s="2" t="s">
        <v>74</v>
      </c>
      <c r="U71" s="2" t="n">
        <f aca="false">IF(AND(EXACT(R71,S71),EXACT(S71,T71)),3,IF(OR(EXACT(R71,S71),EXACT(R71,T71),EXACT(S71,T71)),2,1))</f>
        <v>2</v>
      </c>
      <c r="V71" s="2" t="str">
        <f aca="false">IF(U71=2,IF(EXACT(S71,T71),"ChatGPT",IF(EXACT(R71,T71),"Opus 5","Gemini")),"")</f>
        <v>Gemini</v>
      </c>
      <c r="W71" s="2" t="n">
        <f aca="false">3-EXACT(B71,C71)-EXACT(B71,D71)-EXACT(B71,E71)</f>
        <v>0</v>
      </c>
      <c r="X71" s="2" t="s">
        <v>340</v>
      </c>
      <c r="Y71" s="2" t="s">
        <v>341</v>
      </c>
      <c r="Z71" s="2" t="s">
        <v>342</v>
      </c>
    </row>
    <row r="72" customFormat="false" ht="15" hidden="false" customHeight="false" outlineLevel="0" collapsed="false">
      <c r="A72" s="2" t="n">
        <v>71</v>
      </c>
      <c r="B72" s="2" t="s">
        <v>343</v>
      </c>
      <c r="C72" s="2" t="s">
        <v>343</v>
      </c>
      <c r="D72" s="2" t="s">
        <v>343</v>
      </c>
      <c r="E72" s="2" t="s">
        <v>343</v>
      </c>
      <c r="F72" s="2" t="n">
        <f aca="false">IF(AND(EXACT(C72,D72),EXACT(D72,E72)),3,IF(OR(EXACT(C72,D72),EXACT(C72,E72),EXACT(D72,E72)),2,1))</f>
        <v>3</v>
      </c>
      <c r="G72" s="2" t="str">
        <f aca="false">IF(F72=2,IF(EXACT(D72,E72),"ChatGPT",IF(EXACT(C72,E72),"Opus 5","Gemini")),"")</f>
        <v/>
      </c>
      <c r="H72" s="2" t="s">
        <v>57</v>
      </c>
      <c r="I72" s="2" t="s">
        <v>57</v>
      </c>
      <c r="J72" s="2" t="s">
        <v>57</v>
      </c>
      <c r="K72" s="2" t="n">
        <f aca="false">IF(AND(EXACT(H72,I72),EXACT(I72,J72)),3,IF(OR(EXACT(H72,I72),EXACT(H72,J72),EXACT(I72,J72)),2,1))</f>
        <v>3</v>
      </c>
      <c r="L72" s="2" t="str">
        <f aca="false">IF(K72=2,IF(EXACT(I72,J72),"ChatGPT",IF(EXACT(H72,J72),"Opus 5","Gemini")),"")</f>
        <v/>
      </c>
      <c r="M72" s="2" t="s">
        <v>73</v>
      </c>
      <c r="N72" s="2" t="s">
        <v>73</v>
      </c>
      <c r="O72" s="2" t="s">
        <v>73</v>
      </c>
      <c r="P72" s="2" t="n">
        <f aca="false">IF(AND(EXACT(M72,N72),EXACT(N72,O72)),3,IF(OR(EXACT(M72,N72),EXACT(M72,O72),EXACT(N72,O72)),2,1))</f>
        <v>3</v>
      </c>
      <c r="Q72" s="2" t="str">
        <f aca="false">IF(P72=2,IF(EXACT(N72,O72),"ChatGPT",IF(EXACT(M72,O72),"Opus 5","Gemini")),"")</f>
        <v/>
      </c>
      <c r="R72" s="2" t="s">
        <v>75</v>
      </c>
      <c r="S72" s="2" t="s">
        <v>75</v>
      </c>
      <c r="T72" s="2" t="s">
        <v>75</v>
      </c>
      <c r="U72" s="2" t="n">
        <f aca="false">IF(AND(EXACT(R72,S72),EXACT(S72,T72)),3,IF(OR(EXACT(R72,S72),EXACT(R72,T72),EXACT(S72,T72)),2,1))</f>
        <v>3</v>
      </c>
      <c r="V72" s="2" t="str">
        <f aca="false">IF(U72=2,IF(EXACT(S72,T72),"ChatGPT",IF(EXACT(R72,T72),"Opus 5","Gemini")),"")</f>
        <v/>
      </c>
      <c r="W72" s="2" t="n">
        <f aca="false">3-EXACT(B72,C72)-EXACT(B72,D72)-EXACT(B72,E72)</f>
        <v>0</v>
      </c>
      <c r="X72" s="2" t="s">
        <v>344</v>
      </c>
      <c r="Y72" s="2" t="s">
        <v>345</v>
      </c>
      <c r="Z72" s="2" t="s">
        <v>346</v>
      </c>
    </row>
    <row r="73" customFormat="false" ht="15" hidden="false" customHeight="false" outlineLevel="0" collapsed="false">
      <c r="A73" s="2" t="n">
        <v>72</v>
      </c>
      <c r="B73" s="2" t="s">
        <v>347</v>
      </c>
      <c r="C73" s="2" t="s">
        <v>347</v>
      </c>
      <c r="D73" s="2" t="s">
        <v>347</v>
      </c>
      <c r="E73" s="2" t="s">
        <v>347</v>
      </c>
      <c r="F73" s="2" t="n">
        <f aca="false">IF(AND(EXACT(C73,D73),EXACT(D73,E73)),3,IF(OR(EXACT(C73,D73),EXACT(C73,E73),EXACT(D73,E73)),2,1))</f>
        <v>3</v>
      </c>
      <c r="G73" s="2" t="str">
        <f aca="false">IF(F73=2,IF(EXACT(D73,E73),"ChatGPT",IF(EXACT(C73,E73),"Opus 5","Gemini")),"")</f>
        <v/>
      </c>
      <c r="H73" s="2" t="s">
        <v>57</v>
      </c>
      <c r="I73" s="2" t="s">
        <v>57</v>
      </c>
      <c r="J73" s="2" t="s">
        <v>57</v>
      </c>
      <c r="K73" s="2" t="n">
        <f aca="false">IF(AND(EXACT(H73,I73),EXACT(I73,J73)),3,IF(OR(EXACT(H73,I73),EXACT(H73,J73),EXACT(I73,J73)),2,1))</f>
        <v>3</v>
      </c>
      <c r="L73" s="2" t="str">
        <f aca="false">IF(K73=2,IF(EXACT(I73,J73),"ChatGPT",IF(EXACT(H73,J73),"Opus 5","Gemini")),"")</f>
        <v/>
      </c>
      <c r="M73" s="2" t="s">
        <v>73</v>
      </c>
      <c r="N73" s="2" t="s">
        <v>73</v>
      </c>
      <c r="O73" s="2" t="s">
        <v>72</v>
      </c>
      <c r="P73" s="2" t="n">
        <f aca="false">IF(AND(EXACT(M73,N73),EXACT(N73,O73)),3,IF(OR(EXACT(M73,N73),EXACT(M73,O73),EXACT(N73,O73)),2,1))</f>
        <v>2</v>
      </c>
      <c r="Q73" s="2" t="str">
        <f aca="false">IF(P73=2,IF(EXACT(N73,O73),"ChatGPT",IF(EXACT(M73,O73),"Opus 5","Gemini")),"")</f>
        <v>Gemini</v>
      </c>
      <c r="R73" s="2" t="s">
        <v>75</v>
      </c>
      <c r="S73" s="2" t="s">
        <v>75</v>
      </c>
      <c r="T73" s="2" t="s">
        <v>74</v>
      </c>
      <c r="U73" s="2" t="n">
        <f aca="false">IF(AND(EXACT(R73,S73),EXACT(S73,T73)),3,IF(OR(EXACT(R73,S73),EXACT(R73,T73),EXACT(S73,T73)),2,1))</f>
        <v>2</v>
      </c>
      <c r="V73" s="2" t="str">
        <f aca="false">IF(U73=2,IF(EXACT(S73,T73),"ChatGPT",IF(EXACT(R73,T73),"Opus 5","Gemini")),"")</f>
        <v>Gemini</v>
      </c>
      <c r="W73" s="2" t="n">
        <f aca="false">3-EXACT(B73,C73)-EXACT(B73,D73)-EXACT(B73,E73)</f>
        <v>0</v>
      </c>
      <c r="X73" s="2" t="s">
        <v>348</v>
      </c>
      <c r="Y73" s="2" t="s">
        <v>137</v>
      </c>
      <c r="Z73" s="2" t="s">
        <v>234</v>
      </c>
    </row>
    <row r="74" customFormat="false" ht="15" hidden="false" customHeight="false" outlineLevel="0" collapsed="false">
      <c r="A74" s="2" t="n">
        <v>73</v>
      </c>
      <c r="B74" s="2" t="s">
        <v>349</v>
      </c>
      <c r="C74" s="2" t="s">
        <v>349</v>
      </c>
      <c r="D74" s="2" t="s">
        <v>349</v>
      </c>
      <c r="E74" s="2" t="s">
        <v>349</v>
      </c>
      <c r="F74" s="2" t="n">
        <f aca="false">IF(AND(EXACT(C74,D74),EXACT(D74,E74)),3,IF(OR(EXACT(C74,D74),EXACT(C74,E74),EXACT(D74,E74)),2,1))</f>
        <v>3</v>
      </c>
      <c r="G74" s="2" t="str">
        <f aca="false">IF(F74=2,IF(EXACT(D74,E74),"ChatGPT",IF(EXACT(C74,E74),"Opus 5","Gemini")),"")</f>
        <v/>
      </c>
      <c r="H74" s="2" t="s">
        <v>71</v>
      </c>
      <c r="I74" s="2" t="s">
        <v>71</v>
      </c>
      <c r="J74" s="2" t="s">
        <v>71</v>
      </c>
      <c r="K74" s="2" t="n">
        <f aca="false">IF(AND(EXACT(H74,I74),EXACT(I74,J74)),3,IF(OR(EXACT(H74,I74),EXACT(H74,J74),EXACT(I74,J74)),2,1))</f>
        <v>3</v>
      </c>
      <c r="L74" s="2" t="str">
        <f aca="false">IF(K74=2,IF(EXACT(I74,J74),"ChatGPT",IF(EXACT(H74,J74),"Opus 5","Gemini")),"")</f>
        <v/>
      </c>
      <c r="M74" s="2" t="s">
        <v>88</v>
      </c>
      <c r="N74" s="2" t="s">
        <v>88</v>
      </c>
      <c r="O74" s="2" t="s">
        <v>88</v>
      </c>
      <c r="P74" s="2" t="n">
        <f aca="false">IF(AND(EXACT(M74,N74),EXACT(N74,O74)),3,IF(OR(EXACT(M74,N74),EXACT(M74,O74),EXACT(N74,O74)),2,1))</f>
        <v>3</v>
      </c>
      <c r="Q74" s="2" t="str">
        <f aca="false">IF(P74=2,IF(EXACT(N74,O74),"ChatGPT",IF(EXACT(M74,O74),"Opus 5","Gemini")),"")</f>
        <v/>
      </c>
      <c r="R74" s="2" t="s">
        <v>89</v>
      </c>
      <c r="S74" s="2" t="s">
        <v>89</v>
      </c>
      <c r="T74" s="2" t="s">
        <v>89</v>
      </c>
      <c r="U74" s="2" t="n">
        <f aca="false">IF(AND(EXACT(R74,S74),EXACT(S74,T74)),3,IF(OR(EXACT(R74,S74),EXACT(R74,T74),EXACT(S74,T74)),2,1))</f>
        <v>3</v>
      </c>
      <c r="V74" s="2" t="str">
        <f aca="false">IF(U74=2,IF(EXACT(S74,T74),"ChatGPT",IF(EXACT(R74,T74),"Opus 5","Gemini")),"")</f>
        <v/>
      </c>
      <c r="W74" s="2" t="n">
        <f aca="false">3-EXACT(B74,C74)-EXACT(B74,D74)-EXACT(B74,E74)</f>
        <v>0</v>
      </c>
      <c r="X74" s="2" t="s">
        <v>350</v>
      </c>
      <c r="Y74" s="2" t="s">
        <v>91</v>
      </c>
      <c r="Z74" s="2" t="s">
        <v>91</v>
      </c>
    </row>
    <row r="75" customFormat="false" ht="15" hidden="false" customHeight="false" outlineLevel="0" collapsed="false">
      <c r="A75" s="2" t="n">
        <v>74</v>
      </c>
      <c r="B75" s="2" t="s">
        <v>351</v>
      </c>
      <c r="C75" s="2" t="s">
        <v>352</v>
      </c>
      <c r="D75" s="2" t="s">
        <v>352</v>
      </c>
      <c r="E75" s="2" t="s">
        <v>351</v>
      </c>
      <c r="F75" s="2" t="n">
        <f aca="false">IF(AND(EXACT(C75,D75),EXACT(D75,E75)),3,IF(OR(EXACT(C75,D75),EXACT(C75,E75),EXACT(D75,E75)),2,1))</f>
        <v>2</v>
      </c>
      <c r="G75" s="2" t="str">
        <f aca="false">IF(F75=2,IF(EXACT(D75,E75),"ChatGPT",IF(EXACT(C75,E75),"Opus 5","Gemini")),"")</f>
        <v>Gemini</v>
      </c>
      <c r="H75" s="2" t="s">
        <v>56</v>
      </c>
      <c r="I75" s="2" t="s">
        <v>56</v>
      </c>
      <c r="J75" s="2" t="s">
        <v>71</v>
      </c>
      <c r="K75" s="2" t="n">
        <f aca="false">IF(AND(EXACT(H75,I75),EXACT(I75,J75)),3,IF(OR(EXACT(H75,I75),EXACT(H75,J75),EXACT(I75,J75)),2,1))</f>
        <v>2</v>
      </c>
      <c r="L75" s="2" t="str">
        <f aca="false">IF(K75=2,IF(EXACT(I75,J75),"ChatGPT",IF(EXACT(H75,J75),"Opus 5","Gemini")),"")</f>
        <v>Gemini</v>
      </c>
      <c r="M75" s="2" t="s">
        <v>73</v>
      </c>
      <c r="N75" s="2" t="s">
        <v>73</v>
      </c>
      <c r="O75" s="2" t="s">
        <v>73</v>
      </c>
      <c r="P75" s="2" t="n">
        <f aca="false">IF(AND(EXACT(M75,N75),EXACT(N75,O75)),3,IF(OR(EXACT(M75,N75),EXACT(M75,O75),EXACT(N75,O75)),2,1))</f>
        <v>3</v>
      </c>
      <c r="Q75" s="2" t="str">
        <f aca="false">IF(P75=2,IF(EXACT(N75,O75),"ChatGPT",IF(EXACT(M75,O75),"Opus 5","Gemini")),"")</f>
        <v/>
      </c>
      <c r="R75" s="2" t="s">
        <v>59</v>
      </c>
      <c r="S75" s="2" t="s">
        <v>59</v>
      </c>
      <c r="T75" s="2" t="s">
        <v>75</v>
      </c>
      <c r="U75" s="2" t="n">
        <f aca="false">IF(AND(EXACT(R75,S75),EXACT(S75,T75)),3,IF(OR(EXACT(R75,S75),EXACT(R75,T75),EXACT(S75,T75)),2,1))</f>
        <v>2</v>
      </c>
      <c r="V75" s="2" t="str">
        <f aca="false">IF(U75=2,IF(EXACT(S75,T75),"ChatGPT",IF(EXACT(R75,T75),"Opus 5","Gemini")),"")</f>
        <v>Gemini</v>
      </c>
      <c r="W75" s="2" t="n">
        <f aca="false">3-EXACT(B75,C75)-EXACT(B75,D75)-EXACT(B75,E75)</f>
        <v>2</v>
      </c>
      <c r="X75" s="2" t="s">
        <v>353</v>
      </c>
      <c r="Y75" s="2" t="s">
        <v>354</v>
      </c>
      <c r="Z75" s="2" t="s">
        <v>354</v>
      </c>
    </row>
    <row r="76" customFormat="false" ht="15" hidden="false" customHeight="false" outlineLevel="0" collapsed="false">
      <c r="A76" s="2" t="n">
        <v>75</v>
      </c>
      <c r="B76" s="2" t="s">
        <v>355</v>
      </c>
      <c r="C76" s="2" t="s">
        <v>355</v>
      </c>
      <c r="D76" s="2" t="s">
        <v>355</v>
      </c>
      <c r="E76" s="2" t="s">
        <v>356</v>
      </c>
      <c r="F76" s="2" t="n">
        <f aca="false">IF(AND(EXACT(C76,D76),EXACT(D76,E76)),3,IF(OR(EXACT(C76,D76),EXACT(C76,E76),EXACT(D76,E76)),2,1))</f>
        <v>2</v>
      </c>
      <c r="G76" s="2" t="str">
        <f aca="false">IF(F76=2,IF(EXACT(D76,E76),"ChatGPT",IF(EXACT(C76,E76),"Opus 5","Gemini")),"")</f>
        <v>Gemini</v>
      </c>
      <c r="H76" s="2" t="s">
        <v>71</v>
      </c>
      <c r="I76" s="2" t="s">
        <v>71</v>
      </c>
      <c r="J76" s="2" t="s">
        <v>56</v>
      </c>
      <c r="K76" s="2" t="n">
        <f aca="false">IF(AND(EXACT(H76,I76),EXACT(I76,J76)),3,IF(OR(EXACT(H76,I76),EXACT(H76,J76),EXACT(I76,J76)),2,1))</f>
        <v>2</v>
      </c>
      <c r="L76" s="2" t="str">
        <f aca="false">IF(K76=2,IF(EXACT(I76,J76),"ChatGPT",IF(EXACT(H76,J76),"Opus 5","Gemini")),"")</f>
        <v>Gemini</v>
      </c>
      <c r="M76" s="2" t="s">
        <v>88</v>
      </c>
      <c r="N76" s="2" t="s">
        <v>88</v>
      </c>
      <c r="O76" s="2" t="s">
        <v>73</v>
      </c>
      <c r="P76" s="2" t="n">
        <f aca="false">IF(AND(EXACT(M76,N76),EXACT(N76,O76)),3,IF(OR(EXACT(M76,N76),EXACT(M76,O76),EXACT(N76,O76)),2,1))</f>
        <v>2</v>
      </c>
      <c r="Q76" s="2" t="str">
        <f aca="false">IF(P76=2,IF(EXACT(N76,O76),"ChatGPT",IF(EXACT(M76,O76),"Opus 5","Gemini")),"")</f>
        <v>Gemini</v>
      </c>
      <c r="R76" s="2" t="s">
        <v>89</v>
      </c>
      <c r="S76" s="2" t="s">
        <v>89</v>
      </c>
      <c r="T76" s="2" t="s">
        <v>90</v>
      </c>
      <c r="U76" s="2" t="n">
        <f aca="false">IF(AND(EXACT(R76,S76),EXACT(S76,T76)),3,IF(OR(EXACT(R76,S76),EXACT(R76,T76),EXACT(S76,T76)),2,1))</f>
        <v>2</v>
      </c>
      <c r="V76" s="2" t="str">
        <f aca="false">IF(U76=2,IF(EXACT(S76,T76),"ChatGPT",IF(EXACT(R76,T76),"Opus 5","Gemini")),"")</f>
        <v>Gemini</v>
      </c>
      <c r="W76" s="2" t="n">
        <f aca="false">3-EXACT(B76,C76)-EXACT(B76,D76)-EXACT(B76,E76)</f>
        <v>1</v>
      </c>
      <c r="X76" s="2" t="s">
        <v>357</v>
      </c>
      <c r="Y76" s="2" t="s">
        <v>91</v>
      </c>
      <c r="Z76" s="2" t="s">
        <v>358</v>
      </c>
    </row>
    <row r="77" customFormat="false" ht="15" hidden="false" customHeight="false" outlineLevel="0" collapsed="false">
      <c r="A77" s="2" t="n">
        <v>76</v>
      </c>
      <c r="B77" s="2" t="s">
        <v>359</v>
      </c>
      <c r="C77" s="2" t="s">
        <v>359</v>
      </c>
      <c r="D77" s="2" t="s">
        <v>359</v>
      </c>
      <c r="E77" s="2" t="s">
        <v>360</v>
      </c>
      <c r="F77" s="2" t="n">
        <f aca="false">IF(AND(EXACT(C77,D77),EXACT(D77,E77)),3,IF(OR(EXACT(C77,D77),EXACT(C77,E77),EXACT(D77,E77)),2,1))</f>
        <v>2</v>
      </c>
      <c r="G77" s="2" t="str">
        <f aca="false">IF(F77=2,IF(EXACT(D77,E77),"ChatGPT",IF(EXACT(C77,E77),"Opus 5","Gemini")),"")</f>
        <v>Gemini</v>
      </c>
      <c r="H77" s="2" t="s">
        <v>71</v>
      </c>
      <c r="I77" s="2" t="s">
        <v>80</v>
      </c>
      <c r="J77" s="2" t="s">
        <v>56</v>
      </c>
      <c r="K77" s="2" t="n">
        <f aca="false">IF(AND(EXACT(H77,I77),EXACT(I77,J77)),3,IF(OR(EXACT(H77,I77),EXACT(H77,J77),EXACT(I77,J77)),2,1))</f>
        <v>1</v>
      </c>
      <c r="L77" s="2" t="str">
        <f aca="false">IF(K77=2,IF(EXACT(I77,J77),"ChatGPT",IF(EXACT(H77,J77),"Opus 5","Gemini")),"")</f>
        <v/>
      </c>
      <c r="M77" s="2" t="s">
        <v>88</v>
      </c>
      <c r="N77" s="2" t="s">
        <v>88</v>
      </c>
      <c r="O77" s="2" t="s">
        <v>72</v>
      </c>
      <c r="P77" s="2" t="n">
        <f aca="false">IF(AND(EXACT(M77,N77),EXACT(N77,O77)),3,IF(OR(EXACT(M77,N77),EXACT(M77,O77),EXACT(N77,O77)),2,1))</f>
        <v>2</v>
      </c>
      <c r="Q77" s="2" t="str">
        <f aca="false">IF(P77=2,IF(EXACT(N77,O77),"ChatGPT",IF(EXACT(M77,O77),"Opus 5","Gemini")),"")</f>
        <v>Gemini</v>
      </c>
      <c r="R77" s="2" t="s">
        <v>89</v>
      </c>
      <c r="S77" s="2" t="s">
        <v>89</v>
      </c>
      <c r="T77" s="2" t="s">
        <v>74</v>
      </c>
      <c r="U77" s="2" t="n">
        <f aca="false">IF(AND(EXACT(R77,S77),EXACT(S77,T77)),3,IF(OR(EXACT(R77,S77),EXACT(R77,T77),EXACT(S77,T77)),2,1))</f>
        <v>2</v>
      </c>
      <c r="V77" s="2" t="str">
        <f aca="false">IF(U77=2,IF(EXACT(S77,T77),"ChatGPT",IF(EXACT(R77,T77),"Opus 5","Gemini")),"")</f>
        <v>Gemini</v>
      </c>
      <c r="W77" s="2" t="n">
        <f aca="false">3-EXACT(B77,C77)-EXACT(B77,D77)-EXACT(B77,E77)</f>
        <v>1</v>
      </c>
      <c r="X77" s="2" t="s">
        <v>91</v>
      </c>
      <c r="Y77" s="2" t="s">
        <v>91</v>
      </c>
      <c r="Z77" s="2" t="s">
        <v>361</v>
      </c>
    </row>
    <row r="78" customFormat="false" ht="15" hidden="false" customHeight="false" outlineLevel="0" collapsed="false">
      <c r="A78" s="2" t="n">
        <v>77</v>
      </c>
      <c r="B78" s="2" t="s">
        <v>362</v>
      </c>
      <c r="C78" s="2" t="s">
        <v>363</v>
      </c>
      <c r="D78" s="2" t="s">
        <v>363</v>
      </c>
      <c r="E78" s="2" t="s">
        <v>362</v>
      </c>
      <c r="F78" s="2" t="n">
        <f aca="false">IF(AND(EXACT(C78,D78),EXACT(D78,E78)),3,IF(OR(EXACT(C78,D78),EXACT(C78,E78),EXACT(D78,E78)),2,1))</f>
        <v>2</v>
      </c>
      <c r="G78" s="2" t="str">
        <f aca="false">IF(F78=2,IF(EXACT(D78,E78),"ChatGPT",IF(EXACT(C78,E78),"Opus 5","Gemini")),"")</f>
        <v>Gemini</v>
      </c>
      <c r="H78" s="2" t="s">
        <v>56</v>
      </c>
      <c r="I78" s="2" t="s">
        <v>56</v>
      </c>
      <c r="J78" s="2" t="s">
        <v>57</v>
      </c>
      <c r="K78" s="2" t="n">
        <f aca="false">IF(AND(EXACT(H78,I78),EXACT(I78,J78)),3,IF(OR(EXACT(H78,I78),EXACT(H78,J78),EXACT(I78,J78)),2,1))</f>
        <v>2</v>
      </c>
      <c r="L78" s="2" t="str">
        <f aca="false">IF(K78=2,IF(EXACT(I78,J78),"ChatGPT",IF(EXACT(H78,J78),"Opus 5","Gemini")),"")</f>
        <v>Gemini</v>
      </c>
      <c r="M78" s="2" t="s">
        <v>58</v>
      </c>
      <c r="N78" s="2" t="s">
        <v>73</v>
      </c>
      <c r="O78" s="2" t="s">
        <v>73</v>
      </c>
      <c r="P78" s="2" t="n">
        <f aca="false">IF(AND(EXACT(M78,N78),EXACT(N78,O78)),3,IF(OR(EXACT(M78,N78),EXACT(M78,O78),EXACT(N78,O78)),2,1))</f>
        <v>2</v>
      </c>
      <c r="Q78" s="2" t="str">
        <f aca="false">IF(P78=2,IF(EXACT(N78,O78),"ChatGPT",IF(EXACT(M78,O78),"Opus 5","Gemini")),"")</f>
        <v>ChatGPT</v>
      </c>
      <c r="R78" s="2" t="s">
        <v>59</v>
      </c>
      <c r="S78" s="2" t="s">
        <v>75</v>
      </c>
      <c r="T78" s="2" t="s">
        <v>75</v>
      </c>
      <c r="U78" s="2" t="n">
        <f aca="false">IF(AND(EXACT(R78,S78),EXACT(S78,T78)),3,IF(OR(EXACT(R78,S78),EXACT(R78,T78),EXACT(S78,T78)),2,1))</f>
        <v>2</v>
      </c>
      <c r="V78" s="2" t="str">
        <f aca="false">IF(U78=2,IF(EXACT(S78,T78),"ChatGPT",IF(EXACT(R78,T78),"Opus 5","Gemini")),"")</f>
        <v>ChatGPT</v>
      </c>
      <c r="W78" s="2" t="n">
        <f aca="false">3-EXACT(B78,C78)-EXACT(B78,D78)-EXACT(B78,E78)</f>
        <v>2</v>
      </c>
      <c r="X78" s="2" t="s">
        <v>364</v>
      </c>
      <c r="Y78" s="2" t="s">
        <v>365</v>
      </c>
      <c r="Z78" s="2" t="s">
        <v>366</v>
      </c>
    </row>
    <row r="79" customFormat="false" ht="15" hidden="false" customHeight="false" outlineLevel="0" collapsed="false">
      <c r="A79" s="2" t="n">
        <v>78</v>
      </c>
      <c r="B79" s="2" t="s">
        <v>367</v>
      </c>
      <c r="C79" s="2" t="s">
        <v>367</v>
      </c>
      <c r="D79" s="2" t="s">
        <v>367</v>
      </c>
      <c r="E79" s="2" t="s">
        <v>367</v>
      </c>
      <c r="F79" s="2" t="n">
        <f aca="false">IF(AND(EXACT(C79,D79),EXACT(D79,E79)),3,IF(OR(EXACT(C79,D79),EXACT(C79,E79),EXACT(D79,E79)),2,1))</f>
        <v>3</v>
      </c>
      <c r="G79" s="2" t="str">
        <f aca="false">IF(F79=2,IF(EXACT(D79,E79),"ChatGPT",IF(EXACT(C79,E79),"Opus 5","Gemini")),"")</f>
        <v/>
      </c>
      <c r="H79" s="2" t="s">
        <v>57</v>
      </c>
      <c r="I79" s="2" t="s">
        <v>57</v>
      </c>
      <c r="J79" s="2" t="s">
        <v>71</v>
      </c>
      <c r="K79" s="2" t="n">
        <f aca="false">IF(AND(EXACT(H79,I79),EXACT(I79,J79)),3,IF(OR(EXACT(H79,I79),EXACT(H79,J79),EXACT(I79,J79)),2,1))</f>
        <v>2</v>
      </c>
      <c r="L79" s="2" t="str">
        <f aca="false">IF(K79=2,IF(EXACT(I79,J79),"ChatGPT",IF(EXACT(H79,J79),"Opus 5","Gemini")),"")</f>
        <v>Gemini</v>
      </c>
      <c r="M79" s="2" t="s">
        <v>58</v>
      </c>
      <c r="N79" s="2" t="s">
        <v>58</v>
      </c>
      <c r="O79" s="2" t="s">
        <v>114</v>
      </c>
      <c r="P79" s="2" t="n">
        <f aca="false">IF(AND(EXACT(M79,N79),EXACT(N79,O79)),3,IF(OR(EXACT(M79,N79),EXACT(M79,O79),EXACT(N79,O79)),2,1))</f>
        <v>2</v>
      </c>
      <c r="Q79" s="2" t="str">
        <f aca="false">IF(P79=2,IF(EXACT(N79,O79),"ChatGPT",IF(EXACT(M79,O79),"Opus 5","Gemini")),"")</f>
        <v>Gemini</v>
      </c>
      <c r="R79" s="2" t="s">
        <v>66</v>
      </c>
      <c r="S79" s="2" t="s">
        <v>66</v>
      </c>
      <c r="T79" s="2" t="s">
        <v>66</v>
      </c>
      <c r="U79" s="2" t="n">
        <f aca="false">IF(AND(EXACT(R79,S79),EXACT(S79,T79)),3,IF(OR(EXACT(R79,S79),EXACT(R79,T79),EXACT(S79,T79)),2,1))</f>
        <v>3</v>
      </c>
      <c r="V79" s="2" t="str">
        <f aca="false">IF(U79=2,IF(EXACT(S79,T79),"ChatGPT",IF(EXACT(R79,T79),"Opus 5","Gemini")),"")</f>
        <v/>
      </c>
      <c r="W79" s="2" t="n">
        <f aca="false">3-EXACT(B79,C79)-EXACT(B79,D79)-EXACT(B79,E79)</f>
        <v>0</v>
      </c>
      <c r="X79" s="2" t="s">
        <v>368</v>
      </c>
      <c r="Y79" s="2" t="s">
        <v>369</v>
      </c>
      <c r="Z79" s="2" t="s">
        <v>370</v>
      </c>
    </row>
    <row r="80" customFormat="false" ht="15" hidden="false" customHeight="false" outlineLevel="0" collapsed="false">
      <c r="A80" s="2" t="n">
        <v>79</v>
      </c>
      <c r="B80" s="2" t="s">
        <v>371</v>
      </c>
      <c r="C80" s="2" t="s">
        <v>371</v>
      </c>
      <c r="D80" s="2" t="s">
        <v>371</v>
      </c>
      <c r="E80" s="2" t="s">
        <v>371</v>
      </c>
      <c r="F80" s="2" t="n">
        <f aca="false">IF(AND(EXACT(C80,D80),EXACT(D80,E80)),3,IF(OR(EXACT(C80,D80),EXACT(C80,E80),EXACT(D80,E80)),2,1))</f>
        <v>3</v>
      </c>
      <c r="G80" s="2" t="str">
        <f aca="false">IF(F80=2,IF(EXACT(D80,E80),"ChatGPT",IF(EXACT(C80,E80),"Opus 5","Gemini")),"")</f>
        <v/>
      </c>
      <c r="H80" s="2" t="s">
        <v>57</v>
      </c>
      <c r="I80" s="2" t="s">
        <v>71</v>
      </c>
      <c r="J80" s="2" t="s">
        <v>71</v>
      </c>
      <c r="K80" s="2" t="n">
        <f aca="false">IF(AND(EXACT(H80,I80),EXACT(I80,J80)),3,IF(OR(EXACT(H80,I80),EXACT(H80,J80),EXACT(I80,J80)),2,1))</f>
        <v>2</v>
      </c>
      <c r="L80" s="2" t="str">
        <f aca="false">IF(K80=2,IF(EXACT(I80,J80),"ChatGPT",IF(EXACT(H80,J80),"Opus 5","Gemini")),"")</f>
        <v>ChatGPT</v>
      </c>
      <c r="M80" s="2" t="s">
        <v>72</v>
      </c>
      <c r="N80" s="2" t="s">
        <v>73</v>
      </c>
      <c r="O80" s="2" t="s">
        <v>73</v>
      </c>
      <c r="P80" s="2" t="n">
        <f aca="false">IF(AND(EXACT(M80,N80),EXACT(N80,O80)),3,IF(OR(EXACT(M80,N80),EXACT(M80,O80),EXACT(N80,O80)),2,1))</f>
        <v>2</v>
      </c>
      <c r="Q80" s="2" t="str">
        <f aca="false">IF(P80=2,IF(EXACT(N80,O80),"ChatGPT",IF(EXACT(M80,O80),"Opus 5","Gemini")),"")</f>
        <v>ChatGPT</v>
      </c>
      <c r="R80" s="2" t="s">
        <v>74</v>
      </c>
      <c r="S80" s="2" t="s">
        <v>75</v>
      </c>
      <c r="T80" s="2" t="s">
        <v>75</v>
      </c>
      <c r="U80" s="2" t="n">
        <f aca="false">IF(AND(EXACT(R80,S80),EXACT(S80,T80)),3,IF(OR(EXACT(R80,S80),EXACT(R80,T80),EXACT(S80,T80)),2,1))</f>
        <v>2</v>
      </c>
      <c r="V80" s="2" t="str">
        <f aca="false">IF(U80=2,IF(EXACT(S80,T80),"ChatGPT",IF(EXACT(R80,T80),"Opus 5","Gemini")),"")</f>
        <v>ChatGPT</v>
      </c>
      <c r="W80" s="2" t="n">
        <f aca="false">3-EXACT(B80,C80)-EXACT(B80,D80)-EXACT(B80,E80)</f>
        <v>0</v>
      </c>
      <c r="X80" s="2" t="s">
        <v>372</v>
      </c>
      <c r="Y80" s="2" t="s">
        <v>373</v>
      </c>
      <c r="Z80" s="2" t="s">
        <v>374</v>
      </c>
    </row>
    <row r="81" customFormat="false" ht="15" hidden="false" customHeight="false" outlineLevel="0" collapsed="false">
      <c r="A81" s="2" t="n">
        <v>80</v>
      </c>
      <c r="B81" s="2" t="s">
        <v>375</v>
      </c>
      <c r="C81" s="2" t="s">
        <v>376</v>
      </c>
      <c r="D81" s="2" t="s">
        <v>375</v>
      </c>
      <c r="E81" s="2" t="s">
        <v>375</v>
      </c>
      <c r="F81" s="2" t="n">
        <f aca="false">IF(AND(EXACT(C81,D81),EXACT(D81,E81)),3,IF(OR(EXACT(C81,D81),EXACT(C81,E81),EXACT(D81,E81)),2,1))</f>
        <v>2</v>
      </c>
      <c r="G81" s="2" t="str">
        <f aca="false">IF(F81=2,IF(EXACT(D81,E81),"ChatGPT",IF(EXACT(C81,E81),"Opus 5","Gemini")),"")</f>
        <v>ChatGPT</v>
      </c>
      <c r="H81" s="2" t="s">
        <v>56</v>
      </c>
      <c r="I81" s="2" t="s">
        <v>57</v>
      </c>
      <c r="J81" s="2" t="s">
        <v>57</v>
      </c>
      <c r="K81" s="2" t="n">
        <f aca="false">IF(AND(EXACT(H81,I81),EXACT(I81,J81)),3,IF(OR(EXACT(H81,I81),EXACT(H81,J81),EXACT(I81,J81)),2,1))</f>
        <v>2</v>
      </c>
      <c r="L81" s="2" t="str">
        <f aca="false">IF(K81=2,IF(EXACT(I81,J81),"ChatGPT",IF(EXACT(H81,J81),"Opus 5","Gemini")),"")</f>
        <v>ChatGPT</v>
      </c>
      <c r="M81" s="2" t="s">
        <v>58</v>
      </c>
      <c r="N81" s="2" t="s">
        <v>114</v>
      </c>
      <c r="O81" s="2" t="s">
        <v>114</v>
      </c>
      <c r="P81" s="2" t="n">
        <f aca="false">IF(AND(EXACT(M81,N81),EXACT(N81,O81)),3,IF(OR(EXACT(M81,N81),EXACT(M81,O81),EXACT(N81,O81)),2,1))</f>
        <v>2</v>
      </c>
      <c r="Q81" s="2" t="str">
        <f aca="false">IF(P81=2,IF(EXACT(N81,O81),"ChatGPT",IF(EXACT(M81,O81),"Opus 5","Gemini")),"")</f>
        <v>ChatGPT</v>
      </c>
      <c r="R81" s="2" t="s">
        <v>59</v>
      </c>
      <c r="S81" s="2" t="s">
        <v>66</v>
      </c>
      <c r="T81" s="2" t="s">
        <v>66</v>
      </c>
      <c r="U81" s="2" t="n">
        <f aca="false">IF(AND(EXACT(R81,S81),EXACT(S81,T81)),3,IF(OR(EXACT(R81,S81),EXACT(R81,T81),EXACT(S81,T81)),2,1))</f>
        <v>2</v>
      </c>
      <c r="V81" s="2" t="str">
        <f aca="false">IF(U81=2,IF(EXACT(S81,T81),"ChatGPT",IF(EXACT(R81,T81),"Opus 5","Gemini")),"")</f>
        <v>ChatGPT</v>
      </c>
      <c r="W81" s="2" t="n">
        <f aca="false">3-EXACT(B81,C81)-EXACT(B81,D81)-EXACT(B81,E81)</f>
        <v>1</v>
      </c>
      <c r="X81" s="2" t="s">
        <v>377</v>
      </c>
      <c r="Y81" s="2" t="s">
        <v>378</v>
      </c>
      <c r="Z81" s="2" t="s">
        <v>379</v>
      </c>
    </row>
    <row r="82" customFormat="false" ht="15" hidden="false" customHeight="false" outlineLevel="0" collapsed="false">
      <c r="A82" s="2" t="n">
        <v>81</v>
      </c>
      <c r="B82" s="2" t="s">
        <v>380</v>
      </c>
      <c r="C82" s="2" t="s">
        <v>380</v>
      </c>
      <c r="D82" s="2" t="s">
        <v>380</v>
      </c>
      <c r="E82" s="2" t="s">
        <v>380</v>
      </c>
      <c r="F82" s="2" t="n">
        <f aca="false">IF(AND(EXACT(C82,D82),EXACT(D82,E82)),3,IF(OR(EXACT(C82,D82),EXACT(C82,E82),EXACT(D82,E82)),2,1))</f>
        <v>3</v>
      </c>
      <c r="G82" s="2" t="str">
        <f aca="false">IF(F82=2,IF(EXACT(D82,E82),"ChatGPT",IF(EXACT(C82,E82),"Opus 5","Gemini")),"")</f>
        <v/>
      </c>
      <c r="H82" s="2" t="s">
        <v>71</v>
      </c>
      <c r="I82" s="2" t="s">
        <v>71</v>
      </c>
      <c r="J82" s="2" t="s">
        <v>71</v>
      </c>
      <c r="K82" s="2" t="n">
        <f aca="false">IF(AND(EXACT(H82,I82),EXACT(I82,J82)),3,IF(OR(EXACT(H82,I82),EXACT(H82,J82),EXACT(I82,J82)),2,1))</f>
        <v>3</v>
      </c>
      <c r="L82" s="2" t="str">
        <f aca="false">IF(K82=2,IF(EXACT(I82,J82),"ChatGPT",IF(EXACT(H82,J82),"Opus 5","Gemini")),"")</f>
        <v/>
      </c>
      <c r="M82" s="2" t="s">
        <v>88</v>
      </c>
      <c r="N82" s="2" t="s">
        <v>88</v>
      </c>
      <c r="O82" s="2" t="s">
        <v>88</v>
      </c>
      <c r="P82" s="2" t="n">
        <f aca="false">IF(AND(EXACT(M82,N82),EXACT(N82,O82)),3,IF(OR(EXACT(M82,N82),EXACT(M82,O82),EXACT(N82,O82)),2,1))</f>
        <v>3</v>
      </c>
      <c r="Q82" s="2" t="str">
        <f aca="false">IF(P82=2,IF(EXACT(N82,O82),"ChatGPT",IF(EXACT(M82,O82),"Opus 5","Gemini")),"")</f>
        <v/>
      </c>
      <c r="R82" s="2" t="s">
        <v>89</v>
      </c>
      <c r="S82" s="2" t="s">
        <v>89</v>
      </c>
      <c r="T82" s="2" t="s">
        <v>89</v>
      </c>
      <c r="U82" s="2" t="n">
        <f aca="false">IF(AND(EXACT(R82,S82),EXACT(S82,T82)),3,IF(OR(EXACT(R82,S82),EXACT(R82,T82),EXACT(S82,T82)),2,1))</f>
        <v>3</v>
      </c>
      <c r="V82" s="2" t="str">
        <f aca="false">IF(U82=2,IF(EXACT(S82,T82),"ChatGPT",IF(EXACT(R82,T82),"Opus 5","Gemini")),"")</f>
        <v/>
      </c>
      <c r="W82" s="2" t="n">
        <f aca="false">3-EXACT(B82,C82)-EXACT(B82,D82)-EXACT(B82,E82)</f>
        <v>0</v>
      </c>
      <c r="X82" s="2" t="s">
        <v>91</v>
      </c>
      <c r="Y82" s="2" t="s">
        <v>91</v>
      </c>
      <c r="Z82" s="2" t="s">
        <v>91</v>
      </c>
    </row>
    <row r="83" customFormat="false" ht="15" hidden="false" customHeight="false" outlineLevel="0" collapsed="false">
      <c r="A83" s="2" t="n">
        <v>82</v>
      </c>
      <c r="B83" s="2" t="s">
        <v>381</v>
      </c>
      <c r="C83" s="2" t="s">
        <v>382</v>
      </c>
      <c r="D83" s="2" t="s">
        <v>381</v>
      </c>
      <c r="E83" s="2" t="s">
        <v>381</v>
      </c>
      <c r="F83" s="2" t="n">
        <f aca="false">IF(AND(EXACT(C83,D83),EXACT(D83,E83)),3,IF(OR(EXACT(C83,D83),EXACT(C83,E83),EXACT(D83,E83)),2,1))</f>
        <v>2</v>
      </c>
      <c r="G83" s="2" t="str">
        <f aca="false">IF(F83=2,IF(EXACT(D83,E83),"ChatGPT",IF(EXACT(C83,E83),"Opus 5","Gemini")),"")</f>
        <v>ChatGPT</v>
      </c>
      <c r="H83" s="2" t="s">
        <v>56</v>
      </c>
      <c r="I83" s="2" t="s">
        <v>71</v>
      </c>
      <c r="J83" s="2" t="s">
        <v>71</v>
      </c>
      <c r="K83" s="2" t="n">
        <f aca="false">IF(AND(EXACT(H83,I83),EXACT(I83,J83)),3,IF(OR(EXACT(H83,I83),EXACT(H83,J83),EXACT(I83,J83)),2,1))</f>
        <v>2</v>
      </c>
      <c r="L83" s="2" t="str">
        <f aca="false">IF(K83=2,IF(EXACT(I83,J83),"ChatGPT",IF(EXACT(H83,J83),"Opus 5","Gemini")),"")</f>
        <v>ChatGPT</v>
      </c>
      <c r="M83" s="2" t="s">
        <v>114</v>
      </c>
      <c r="N83" s="2" t="s">
        <v>88</v>
      </c>
      <c r="O83" s="2" t="s">
        <v>88</v>
      </c>
      <c r="P83" s="2" t="n">
        <f aca="false">IF(AND(EXACT(M83,N83),EXACT(N83,O83)),3,IF(OR(EXACT(M83,N83),EXACT(M83,O83),EXACT(N83,O83)),2,1))</f>
        <v>2</v>
      </c>
      <c r="Q83" s="2" t="str">
        <f aca="false">IF(P83=2,IF(EXACT(N83,O83),"ChatGPT",IF(EXACT(M83,O83),"Opus 5","Gemini")),"")</f>
        <v>ChatGPT</v>
      </c>
      <c r="R83" s="2" t="s">
        <v>59</v>
      </c>
      <c r="S83" s="2" t="s">
        <v>89</v>
      </c>
      <c r="T83" s="2" t="s">
        <v>89</v>
      </c>
      <c r="U83" s="2" t="n">
        <f aca="false">IF(AND(EXACT(R83,S83),EXACT(S83,T83)),3,IF(OR(EXACT(R83,S83),EXACT(R83,T83),EXACT(S83,T83)),2,1))</f>
        <v>2</v>
      </c>
      <c r="V83" s="2" t="str">
        <f aca="false">IF(U83=2,IF(EXACT(S83,T83),"ChatGPT",IF(EXACT(R83,T83),"Opus 5","Gemini")),"")</f>
        <v>ChatGPT</v>
      </c>
      <c r="W83" s="2" t="n">
        <f aca="false">3-EXACT(B83,C83)-EXACT(B83,D83)-EXACT(B83,E83)</f>
        <v>1</v>
      </c>
      <c r="X83" s="2" t="s">
        <v>383</v>
      </c>
      <c r="Y83" s="2" t="s">
        <v>91</v>
      </c>
      <c r="Z83" s="2" t="s">
        <v>91</v>
      </c>
    </row>
    <row r="84" customFormat="false" ht="15" hidden="false" customHeight="false" outlineLevel="0" collapsed="false">
      <c r="A84" s="2" t="n">
        <v>83</v>
      </c>
      <c r="B84" s="2" t="s">
        <v>384</v>
      </c>
      <c r="C84" s="2" t="s">
        <v>384</v>
      </c>
      <c r="D84" s="2" t="s">
        <v>384</v>
      </c>
      <c r="E84" s="2" t="s">
        <v>384</v>
      </c>
      <c r="F84" s="2" t="n">
        <f aca="false">IF(AND(EXACT(C84,D84),EXACT(D84,E84)),3,IF(OR(EXACT(C84,D84),EXACT(C84,E84),EXACT(D84,E84)),2,1))</f>
        <v>3</v>
      </c>
      <c r="G84" s="2" t="str">
        <f aca="false">IF(F84=2,IF(EXACT(D84,E84),"ChatGPT",IF(EXACT(C84,E84),"Opus 5","Gemini")),"")</f>
        <v/>
      </c>
      <c r="H84" s="2" t="s">
        <v>57</v>
      </c>
      <c r="I84" s="2" t="s">
        <v>57</v>
      </c>
      <c r="J84" s="2" t="s">
        <v>57</v>
      </c>
      <c r="K84" s="2" t="n">
        <f aca="false">IF(AND(EXACT(H84,I84),EXACT(I84,J84)),3,IF(OR(EXACT(H84,I84),EXACT(H84,J84),EXACT(I84,J84)),2,1))</f>
        <v>3</v>
      </c>
      <c r="L84" s="2" t="str">
        <f aca="false">IF(K84=2,IF(EXACT(I84,J84),"ChatGPT",IF(EXACT(H84,J84),"Opus 5","Gemini")),"")</f>
        <v/>
      </c>
      <c r="M84" s="2" t="s">
        <v>58</v>
      </c>
      <c r="N84" s="2" t="s">
        <v>88</v>
      </c>
      <c r="O84" s="2" t="s">
        <v>58</v>
      </c>
      <c r="P84" s="2" t="n">
        <f aca="false">IF(AND(EXACT(M84,N84),EXACT(N84,O84)),3,IF(OR(EXACT(M84,N84),EXACT(M84,O84),EXACT(N84,O84)),2,1))</f>
        <v>2</v>
      </c>
      <c r="Q84" s="2" t="str">
        <f aca="false">IF(P84=2,IF(EXACT(N84,O84),"ChatGPT",IF(EXACT(M84,O84),"Opus 5","Gemini")),"")</f>
        <v>Opus 5</v>
      </c>
      <c r="R84" s="2" t="s">
        <v>61</v>
      </c>
      <c r="S84" s="2" t="s">
        <v>60</v>
      </c>
      <c r="T84" s="2" t="s">
        <v>61</v>
      </c>
      <c r="U84" s="2" t="n">
        <f aca="false">IF(AND(EXACT(R84,S84),EXACT(S84,T84)),3,IF(OR(EXACT(R84,S84),EXACT(R84,T84),EXACT(S84,T84)),2,1))</f>
        <v>2</v>
      </c>
      <c r="V84" s="2" t="str">
        <f aca="false">IF(U84=2,IF(EXACT(S84,T84),"ChatGPT",IF(EXACT(R84,T84),"Opus 5","Gemini")),"")</f>
        <v>Opus 5</v>
      </c>
      <c r="W84" s="2" t="n">
        <f aca="false">3-EXACT(B84,C84)-EXACT(B84,D84)-EXACT(B84,E84)</f>
        <v>0</v>
      </c>
      <c r="X84" s="2" t="s">
        <v>385</v>
      </c>
      <c r="Y84" s="2" t="s">
        <v>91</v>
      </c>
      <c r="Z84" s="2" t="s">
        <v>386</v>
      </c>
    </row>
    <row r="85" customFormat="false" ht="15" hidden="false" customHeight="false" outlineLevel="0" collapsed="false">
      <c r="A85" s="2" t="n">
        <v>84</v>
      </c>
      <c r="B85" s="2" t="s">
        <v>387</v>
      </c>
      <c r="C85" s="2" t="s">
        <v>387</v>
      </c>
      <c r="D85" s="2" t="s">
        <v>387</v>
      </c>
      <c r="E85" s="2" t="s">
        <v>387</v>
      </c>
      <c r="F85" s="2" t="n">
        <f aca="false">IF(AND(EXACT(C85,D85),EXACT(D85,E85)),3,IF(OR(EXACT(C85,D85),EXACT(C85,E85),EXACT(D85,E85)),2,1))</f>
        <v>3</v>
      </c>
      <c r="G85" s="2" t="str">
        <f aca="false">IF(F85=2,IF(EXACT(D85,E85),"ChatGPT",IF(EXACT(C85,E85),"Opus 5","Gemini")),"")</f>
        <v/>
      </c>
      <c r="H85" s="2" t="s">
        <v>57</v>
      </c>
      <c r="I85" s="2" t="s">
        <v>80</v>
      </c>
      <c r="J85" s="2" t="s">
        <v>71</v>
      </c>
      <c r="K85" s="2" t="n">
        <f aca="false">IF(AND(EXACT(H85,I85),EXACT(I85,J85)),3,IF(OR(EXACT(H85,I85),EXACT(H85,J85),EXACT(I85,J85)),2,1))</f>
        <v>1</v>
      </c>
      <c r="L85" s="2" t="str">
        <f aca="false">IF(K85=2,IF(EXACT(I85,J85),"ChatGPT",IF(EXACT(H85,J85),"Opus 5","Gemini")),"")</f>
        <v/>
      </c>
      <c r="M85" s="2" t="s">
        <v>58</v>
      </c>
      <c r="N85" s="2" t="s">
        <v>58</v>
      </c>
      <c r="O85" s="2" t="s">
        <v>114</v>
      </c>
      <c r="P85" s="2" t="n">
        <f aca="false">IF(AND(EXACT(M85,N85),EXACT(N85,O85)),3,IF(OR(EXACT(M85,N85),EXACT(M85,O85),EXACT(N85,O85)),2,1))</f>
        <v>2</v>
      </c>
      <c r="Q85" s="2" t="str">
        <f aca="false">IF(P85=2,IF(EXACT(N85,O85),"ChatGPT",IF(EXACT(M85,O85),"Opus 5","Gemini")),"")</f>
        <v>Gemini</v>
      </c>
      <c r="R85" s="2" t="s">
        <v>66</v>
      </c>
      <c r="S85" s="2" t="s">
        <v>66</v>
      </c>
      <c r="T85" s="2" t="s">
        <v>66</v>
      </c>
      <c r="U85" s="2" t="n">
        <f aca="false">IF(AND(EXACT(R85,S85),EXACT(S85,T85)),3,IF(OR(EXACT(R85,S85),EXACT(R85,T85),EXACT(S85,T85)),2,1))</f>
        <v>3</v>
      </c>
      <c r="V85" s="2" t="str">
        <f aca="false">IF(U85=2,IF(EXACT(S85,T85),"ChatGPT",IF(EXACT(R85,T85),"Opus 5","Gemini")),"")</f>
        <v/>
      </c>
      <c r="W85" s="2" t="n">
        <f aca="false">3-EXACT(B85,C85)-EXACT(B85,D85)-EXACT(B85,E85)</f>
        <v>0</v>
      </c>
      <c r="X85" s="2" t="s">
        <v>388</v>
      </c>
      <c r="Y85" s="2" t="s">
        <v>389</v>
      </c>
      <c r="Z85" s="2" t="s">
        <v>390</v>
      </c>
    </row>
    <row r="86" customFormat="false" ht="15" hidden="false" customHeight="false" outlineLevel="0" collapsed="false">
      <c r="A86" s="2" t="n">
        <v>85</v>
      </c>
      <c r="B86" s="2" t="s">
        <v>391</v>
      </c>
      <c r="C86" s="2" t="s">
        <v>391</v>
      </c>
      <c r="D86" s="2" t="s">
        <v>391</v>
      </c>
      <c r="E86" s="2" t="s">
        <v>391</v>
      </c>
      <c r="F86" s="2" t="n">
        <f aca="false">IF(AND(EXACT(C86,D86),EXACT(D86,E86)),3,IF(OR(EXACT(C86,D86),EXACT(C86,E86),EXACT(D86,E86)),2,1))</f>
        <v>3</v>
      </c>
      <c r="G86" s="2" t="str">
        <f aca="false">IF(F86=2,IF(EXACT(D86,E86),"ChatGPT",IF(EXACT(C86,E86),"Opus 5","Gemini")),"")</f>
        <v/>
      </c>
      <c r="H86" s="2" t="s">
        <v>71</v>
      </c>
      <c r="I86" s="2" t="s">
        <v>71</v>
      </c>
      <c r="J86" s="2" t="s">
        <v>71</v>
      </c>
      <c r="K86" s="2" t="n">
        <f aca="false">IF(AND(EXACT(H86,I86),EXACT(I86,J86)),3,IF(OR(EXACT(H86,I86),EXACT(H86,J86),EXACT(I86,J86)),2,1))</f>
        <v>3</v>
      </c>
      <c r="L86" s="2" t="str">
        <f aca="false">IF(K86=2,IF(EXACT(I86,J86),"ChatGPT",IF(EXACT(H86,J86),"Opus 5","Gemini")),"")</f>
        <v/>
      </c>
      <c r="M86" s="2" t="s">
        <v>73</v>
      </c>
      <c r="N86" s="2" t="s">
        <v>73</v>
      </c>
      <c r="O86" s="2" t="s">
        <v>73</v>
      </c>
      <c r="P86" s="2" t="n">
        <f aca="false">IF(AND(EXACT(M86,N86),EXACT(N86,O86)),3,IF(OR(EXACT(M86,N86),EXACT(M86,O86),EXACT(N86,O86)),2,1))</f>
        <v>3</v>
      </c>
      <c r="Q86" s="2" t="str">
        <f aca="false">IF(P86=2,IF(EXACT(N86,O86),"ChatGPT",IF(EXACT(M86,O86),"Opus 5","Gemini")),"")</f>
        <v/>
      </c>
      <c r="R86" s="2" t="s">
        <v>75</v>
      </c>
      <c r="S86" s="2" t="s">
        <v>75</v>
      </c>
      <c r="T86" s="2" t="s">
        <v>75</v>
      </c>
      <c r="U86" s="2" t="n">
        <f aca="false">IF(AND(EXACT(R86,S86),EXACT(S86,T86)),3,IF(OR(EXACT(R86,S86),EXACT(R86,T86),EXACT(S86,T86)),2,1))</f>
        <v>3</v>
      </c>
      <c r="V86" s="2" t="str">
        <f aca="false">IF(U86=2,IF(EXACT(S86,T86),"ChatGPT",IF(EXACT(R86,T86),"Opus 5","Gemini")),"")</f>
        <v/>
      </c>
      <c r="W86" s="2" t="n">
        <f aca="false">3-EXACT(B86,C86)-EXACT(B86,D86)-EXACT(B86,E86)</f>
        <v>0</v>
      </c>
      <c r="X86" s="2" t="s">
        <v>243</v>
      </c>
      <c r="Y86" s="2" t="s">
        <v>242</v>
      </c>
      <c r="Z86" s="2" t="s">
        <v>242</v>
      </c>
    </row>
    <row r="87" customFormat="false" ht="15" hidden="false" customHeight="false" outlineLevel="0" collapsed="false">
      <c r="A87" s="2" t="n">
        <v>86</v>
      </c>
      <c r="B87" s="2" t="s">
        <v>392</v>
      </c>
      <c r="C87" s="2" t="s">
        <v>393</v>
      </c>
      <c r="D87" s="2" t="s">
        <v>392</v>
      </c>
      <c r="E87" s="2" t="s">
        <v>392</v>
      </c>
      <c r="F87" s="2" t="n">
        <f aca="false">IF(AND(EXACT(C87,D87),EXACT(D87,E87)),3,IF(OR(EXACT(C87,D87),EXACT(C87,E87),EXACT(D87,E87)),2,1))</f>
        <v>2</v>
      </c>
      <c r="G87" s="2" t="str">
        <f aca="false">IF(F87=2,IF(EXACT(D87,E87),"ChatGPT",IF(EXACT(C87,E87),"Opus 5","Gemini")),"")</f>
        <v>ChatGPT</v>
      </c>
      <c r="H87" s="2" t="s">
        <v>56</v>
      </c>
      <c r="I87" s="2" t="s">
        <v>57</v>
      </c>
      <c r="J87" s="2" t="s">
        <v>71</v>
      </c>
      <c r="K87" s="2" t="n">
        <f aca="false">IF(AND(EXACT(H87,I87),EXACT(I87,J87)),3,IF(OR(EXACT(H87,I87),EXACT(H87,J87),EXACT(I87,J87)),2,1))</f>
        <v>1</v>
      </c>
      <c r="L87" s="2" t="str">
        <f aca="false">IF(K87=2,IF(EXACT(I87,J87),"ChatGPT",IF(EXACT(H87,J87),"Opus 5","Gemini")),"")</f>
        <v/>
      </c>
      <c r="M87" s="2" t="s">
        <v>58</v>
      </c>
      <c r="N87" s="2" t="s">
        <v>58</v>
      </c>
      <c r="O87" s="2" t="s">
        <v>58</v>
      </c>
      <c r="P87" s="2" t="n">
        <f aca="false">IF(AND(EXACT(M87,N87),EXACT(N87,O87)),3,IF(OR(EXACT(M87,N87),EXACT(M87,O87),EXACT(N87,O87)),2,1))</f>
        <v>3</v>
      </c>
      <c r="Q87" s="2" t="str">
        <f aca="false">IF(P87=2,IF(EXACT(N87,O87),"ChatGPT",IF(EXACT(M87,O87),"Opus 5","Gemini")),"")</f>
        <v/>
      </c>
      <c r="R87" s="2" t="s">
        <v>59</v>
      </c>
      <c r="S87" s="2" t="s">
        <v>66</v>
      </c>
      <c r="T87" s="2" t="s">
        <v>66</v>
      </c>
      <c r="U87" s="2" t="n">
        <f aca="false">IF(AND(EXACT(R87,S87),EXACT(S87,T87)),3,IF(OR(EXACT(R87,S87),EXACT(R87,T87),EXACT(S87,T87)),2,1))</f>
        <v>2</v>
      </c>
      <c r="V87" s="2" t="str">
        <f aca="false">IF(U87=2,IF(EXACT(S87,T87),"ChatGPT",IF(EXACT(R87,T87),"Opus 5","Gemini")),"")</f>
        <v>ChatGPT</v>
      </c>
      <c r="W87" s="2" t="n">
        <f aca="false">3-EXACT(B87,C87)-EXACT(B87,D87)-EXACT(B87,E87)</f>
        <v>1</v>
      </c>
      <c r="X87" s="2" t="s">
        <v>394</v>
      </c>
      <c r="Y87" s="2" t="s">
        <v>395</v>
      </c>
      <c r="Z87" s="2" t="s">
        <v>396</v>
      </c>
    </row>
    <row r="88" customFormat="false" ht="15" hidden="false" customHeight="false" outlineLevel="0" collapsed="false">
      <c r="A88" s="2" t="n">
        <v>87</v>
      </c>
      <c r="B88" s="2" t="s">
        <v>397</v>
      </c>
      <c r="C88" s="2" t="s">
        <v>398</v>
      </c>
      <c r="D88" s="2" t="s">
        <v>397</v>
      </c>
      <c r="E88" s="2" t="s">
        <v>397</v>
      </c>
      <c r="F88" s="2" t="n">
        <f aca="false">IF(AND(EXACT(C88,D88),EXACT(D88,E88)),3,IF(OR(EXACT(C88,D88),EXACT(C88,E88),EXACT(D88,E88)),2,1))</f>
        <v>2</v>
      </c>
      <c r="G88" s="2" t="str">
        <f aca="false">IF(F88=2,IF(EXACT(D88,E88),"ChatGPT",IF(EXACT(C88,E88),"Opus 5","Gemini")),"")</f>
        <v>ChatGPT</v>
      </c>
      <c r="H88" s="2" t="s">
        <v>56</v>
      </c>
      <c r="I88" s="2" t="s">
        <v>80</v>
      </c>
      <c r="J88" s="2" t="s">
        <v>71</v>
      </c>
      <c r="K88" s="2" t="n">
        <f aca="false">IF(AND(EXACT(H88,I88),EXACT(I88,J88)),3,IF(OR(EXACT(H88,I88),EXACT(H88,J88),EXACT(I88,J88)),2,1))</f>
        <v>1</v>
      </c>
      <c r="L88" s="2" t="str">
        <f aca="false">IF(K88=2,IF(EXACT(I88,J88),"ChatGPT",IF(EXACT(H88,J88),"Opus 5","Gemini")),"")</f>
        <v/>
      </c>
      <c r="M88" s="2" t="s">
        <v>150</v>
      </c>
      <c r="N88" s="2" t="s">
        <v>150</v>
      </c>
      <c r="O88" s="2" t="s">
        <v>73</v>
      </c>
      <c r="P88" s="2" t="n">
        <f aca="false">IF(AND(EXACT(M88,N88),EXACT(N88,O88)),3,IF(OR(EXACT(M88,N88),EXACT(M88,O88),EXACT(N88,O88)),2,1))</f>
        <v>2</v>
      </c>
      <c r="Q88" s="2" t="str">
        <f aca="false">IF(P88=2,IF(EXACT(N88,O88),"ChatGPT",IF(EXACT(M88,O88),"Opus 5","Gemini")),"")</f>
        <v>Gemini</v>
      </c>
      <c r="R88" s="2" t="s">
        <v>151</v>
      </c>
      <c r="S88" s="2" t="s">
        <v>81</v>
      </c>
      <c r="T88" s="2" t="s">
        <v>74</v>
      </c>
      <c r="U88" s="2" t="n">
        <f aca="false">IF(AND(EXACT(R88,S88),EXACT(S88,T88)),3,IF(OR(EXACT(R88,S88),EXACT(R88,T88),EXACT(S88,T88)),2,1))</f>
        <v>1</v>
      </c>
      <c r="V88" s="2" t="str">
        <f aca="false">IF(U88=2,IF(EXACT(S88,T88),"ChatGPT",IF(EXACT(R88,T88),"Opus 5","Gemini")),"")</f>
        <v/>
      </c>
      <c r="W88" s="2" t="n">
        <f aca="false">3-EXACT(B88,C88)-EXACT(B88,D88)-EXACT(B88,E88)</f>
        <v>1</v>
      </c>
      <c r="X88" s="2" t="s">
        <v>399</v>
      </c>
      <c r="Y88" s="2" t="s">
        <v>400</v>
      </c>
      <c r="Z88" s="2" t="s">
        <v>401</v>
      </c>
    </row>
    <row r="89" customFormat="false" ht="15" hidden="false" customHeight="false" outlineLevel="0" collapsed="false">
      <c r="A89" s="2" t="n">
        <v>88</v>
      </c>
      <c r="B89" s="2" t="s">
        <v>402</v>
      </c>
      <c r="C89" s="2" t="s">
        <v>402</v>
      </c>
      <c r="D89" s="2" t="s">
        <v>402</v>
      </c>
      <c r="E89" s="2" t="s">
        <v>402</v>
      </c>
      <c r="F89" s="2" t="n">
        <f aca="false">IF(AND(EXACT(C89,D89),EXACT(D89,E89)),3,IF(OR(EXACT(C89,D89),EXACT(C89,E89),EXACT(D89,E89)),2,1))</f>
        <v>3</v>
      </c>
      <c r="G89" s="2" t="str">
        <f aca="false">IF(F89=2,IF(EXACT(D89,E89),"ChatGPT",IF(EXACT(C89,E89),"Opus 5","Gemini")),"")</f>
        <v/>
      </c>
      <c r="H89" s="2" t="s">
        <v>71</v>
      </c>
      <c r="I89" s="2" t="s">
        <v>80</v>
      </c>
      <c r="J89" s="2" t="s">
        <v>71</v>
      </c>
      <c r="K89" s="2" t="n">
        <f aca="false">IF(AND(EXACT(H89,I89),EXACT(I89,J89)),3,IF(OR(EXACT(H89,I89),EXACT(H89,J89),EXACT(I89,J89)),2,1))</f>
        <v>2</v>
      </c>
      <c r="L89" s="2" t="str">
        <f aca="false">IF(K89=2,IF(EXACT(I89,J89),"ChatGPT",IF(EXACT(H89,J89),"Opus 5","Gemini")),"")</f>
        <v>Opus 5</v>
      </c>
      <c r="M89" s="2" t="s">
        <v>73</v>
      </c>
      <c r="N89" s="2" t="s">
        <v>73</v>
      </c>
      <c r="O89" s="2" t="s">
        <v>73</v>
      </c>
      <c r="P89" s="2" t="n">
        <f aca="false">IF(AND(EXACT(M89,N89),EXACT(N89,O89)),3,IF(OR(EXACT(M89,N89),EXACT(M89,O89),EXACT(N89,O89)),2,1))</f>
        <v>3</v>
      </c>
      <c r="Q89" s="2" t="str">
        <f aca="false">IF(P89=2,IF(EXACT(N89,O89),"ChatGPT",IF(EXACT(M89,O89),"Opus 5","Gemini")),"")</f>
        <v/>
      </c>
      <c r="R89" s="2" t="s">
        <v>75</v>
      </c>
      <c r="S89" s="2" t="s">
        <v>75</v>
      </c>
      <c r="T89" s="2" t="s">
        <v>75</v>
      </c>
      <c r="U89" s="2" t="n">
        <f aca="false">IF(AND(EXACT(R89,S89),EXACT(S89,T89)),3,IF(OR(EXACT(R89,S89),EXACT(R89,T89),EXACT(S89,T89)),2,1))</f>
        <v>3</v>
      </c>
      <c r="V89" s="2" t="str">
        <f aca="false">IF(U89=2,IF(EXACT(S89,T89),"ChatGPT",IF(EXACT(R89,T89),"Opus 5","Gemini")),"")</f>
        <v/>
      </c>
      <c r="W89" s="2" t="n">
        <f aca="false">3-EXACT(B89,C89)-EXACT(B89,D89)-EXACT(B89,E89)</f>
        <v>0</v>
      </c>
      <c r="X89" s="2" t="s">
        <v>403</v>
      </c>
      <c r="Y89" s="2" t="s">
        <v>404</v>
      </c>
      <c r="Z89" s="2" t="s">
        <v>405</v>
      </c>
    </row>
    <row r="90" customFormat="false" ht="15" hidden="false" customHeight="false" outlineLevel="0" collapsed="false">
      <c r="A90" s="2" t="n">
        <v>89</v>
      </c>
      <c r="B90" s="2" t="s">
        <v>406</v>
      </c>
      <c r="C90" s="2" t="s">
        <v>406</v>
      </c>
      <c r="D90" s="2" t="s">
        <v>406</v>
      </c>
      <c r="E90" s="2" t="s">
        <v>406</v>
      </c>
      <c r="F90" s="2" t="n">
        <f aca="false">IF(AND(EXACT(C90,D90),EXACT(D90,E90)),3,IF(OR(EXACT(C90,D90),EXACT(C90,E90),EXACT(D90,E90)),2,1))</f>
        <v>3</v>
      </c>
      <c r="G90" s="2" t="str">
        <f aca="false">IF(F90=2,IF(EXACT(D90,E90),"ChatGPT",IF(EXACT(C90,E90),"Opus 5","Gemini")),"")</f>
        <v/>
      </c>
      <c r="H90" s="2" t="s">
        <v>71</v>
      </c>
      <c r="I90" s="2" t="s">
        <v>71</v>
      </c>
      <c r="J90" s="2" t="s">
        <v>71</v>
      </c>
      <c r="K90" s="2" t="n">
        <f aca="false">IF(AND(EXACT(H90,I90),EXACT(I90,J90)),3,IF(OR(EXACT(H90,I90),EXACT(H90,J90),EXACT(I90,J90)),2,1))</f>
        <v>3</v>
      </c>
      <c r="L90" s="2" t="str">
        <f aca="false">IF(K90=2,IF(EXACT(I90,J90),"ChatGPT",IF(EXACT(H90,J90),"Opus 5","Gemini")),"")</f>
        <v/>
      </c>
      <c r="M90" s="2" t="s">
        <v>73</v>
      </c>
      <c r="N90" s="2" t="s">
        <v>73</v>
      </c>
      <c r="O90" s="2" t="s">
        <v>73</v>
      </c>
      <c r="P90" s="2" t="n">
        <f aca="false">IF(AND(EXACT(M90,N90),EXACT(N90,O90)),3,IF(OR(EXACT(M90,N90),EXACT(M90,O90),EXACT(N90,O90)),2,1))</f>
        <v>3</v>
      </c>
      <c r="Q90" s="2" t="str">
        <f aca="false">IF(P90=2,IF(EXACT(N90,O90),"ChatGPT",IF(EXACT(M90,O90),"Opus 5","Gemini")),"")</f>
        <v/>
      </c>
      <c r="R90" s="2" t="s">
        <v>75</v>
      </c>
      <c r="S90" s="2" t="s">
        <v>75</v>
      </c>
      <c r="T90" s="2" t="s">
        <v>75</v>
      </c>
      <c r="U90" s="2" t="n">
        <f aca="false">IF(AND(EXACT(R90,S90),EXACT(S90,T90)),3,IF(OR(EXACT(R90,S90),EXACT(R90,T90),EXACT(S90,T90)),2,1))</f>
        <v>3</v>
      </c>
      <c r="V90" s="2" t="str">
        <f aca="false">IF(U90=2,IF(EXACT(S90,T90),"ChatGPT",IF(EXACT(R90,T90),"Opus 5","Gemini")),"")</f>
        <v/>
      </c>
      <c r="W90" s="2" t="n">
        <f aca="false">3-EXACT(B90,C90)-EXACT(B90,D90)-EXACT(B90,E90)</f>
        <v>0</v>
      </c>
      <c r="X90" s="2" t="s">
        <v>407</v>
      </c>
      <c r="Y90" s="2" t="s">
        <v>407</v>
      </c>
      <c r="Z90" s="2" t="s">
        <v>407</v>
      </c>
    </row>
    <row r="91" customFormat="false" ht="15" hidden="false" customHeight="false" outlineLevel="0" collapsed="false">
      <c r="A91" s="2" t="n">
        <v>90</v>
      </c>
      <c r="B91" s="2" t="s">
        <v>408</v>
      </c>
      <c r="C91" s="2" t="s">
        <v>408</v>
      </c>
      <c r="D91" s="2" t="s">
        <v>408</v>
      </c>
      <c r="E91" s="2" t="s">
        <v>408</v>
      </c>
      <c r="F91" s="2" t="n">
        <f aca="false">IF(AND(EXACT(C91,D91),EXACT(D91,E91)),3,IF(OR(EXACT(C91,D91),EXACT(C91,E91),EXACT(D91,E91)),2,1))</f>
        <v>3</v>
      </c>
      <c r="G91" s="2" t="str">
        <f aca="false">IF(F91=2,IF(EXACT(D91,E91),"ChatGPT",IF(EXACT(C91,E91),"Opus 5","Gemini")),"")</f>
        <v/>
      </c>
      <c r="H91" s="2" t="s">
        <v>80</v>
      </c>
      <c r="I91" s="2" t="s">
        <v>71</v>
      </c>
      <c r="J91" s="2" t="s">
        <v>71</v>
      </c>
      <c r="K91" s="2" t="n">
        <f aca="false">IF(AND(EXACT(H91,I91),EXACT(I91,J91)),3,IF(OR(EXACT(H91,I91),EXACT(H91,J91),EXACT(I91,J91)),2,1))</f>
        <v>2</v>
      </c>
      <c r="L91" s="2" t="str">
        <f aca="false">IF(K91=2,IF(EXACT(I91,J91),"ChatGPT",IF(EXACT(H91,J91),"Opus 5","Gemini")),"")</f>
        <v>ChatGPT</v>
      </c>
      <c r="M91" s="2" t="s">
        <v>72</v>
      </c>
      <c r="N91" s="2" t="s">
        <v>73</v>
      </c>
      <c r="O91" s="2" t="s">
        <v>73</v>
      </c>
      <c r="P91" s="2" t="n">
        <f aca="false">IF(AND(EXACT(M91,N91),EXACT(N91,O91)),3,IF(OR(EXACT(M91,N91),EXACT(M91,O91),EXACT(N91,O91)),2,1))</f>
        <v>2</v>
      </c>
      <c r="Q91" s="2" t="str">
        <f aca="false">IF(P91=2,IF(EXACT(N91,O91),"ChatGPT",IF(EXACT(M91,O91),"Opus 5","Gemini")),"")</f>
        <v>ChatGPT</v>
      </c>
      <c r="R91" s="2" t="s">
        <v>74</v>
      </c>
      <c r="S91" s="2" t="s">
        <v>75</v>
      </c>
      <c r="T91" s="2" t="s">
        <v>75</v>
      </c>
      <c r="U91" s="2" t="n">
        <f aca="false">IF(AND(EXACT(R91,S91),EXACT(S91,T91)),3,IF(OR(EXACT(R91,S91),EXACT(R91,T91),EXACT(S91,T91)),2,1))</f>
        <v>2</v>
      </c>
      <c r="V91" s="2" t="str">
        <f aca="false">IF(U91=2,IF(EXACT(S91,T91),"ChatGPT",IF(EXACT(R91,T91),"Opus 5","Gemini")),"")</f>
        <v>ChatGPT</v>
      </c>
      <c r="W91" s="2" t="n">
        <f aca="false">3-EXACT(B91,C91)-EXACT(B91,D91)-EXACT(B91,E91)</f>
        <v>0</v>
      </c>
      <c r="X91" s="2" t="s">
        <v>409</v>
      </c>
      <c r="Y91" s="2" t="s">
        <v>410</v>
      </c>
      <c r="Z91" s="2" t="s">
        <v>410</v>
      </c>
    </row>
    <row r="92" customFormat="false" ht="15" hidden="false" customHeight="false" outlineLevel="0" collapsed="false">
      <c r="A92" s="2" t="n">
        <v>91</v>
      </c>
      <c r="B92" s="2" t="s">
        <v>411</v>
      </c>
      <c r="C92" s="2" t="s">
        <v>411</v>
      </c>
      <c r="D92" s="2" t="s">
        <v>411</v>
      </c>
      <c r="E92" s="2" t="s">
        <v>411</v>
      </c>
      <c r="F92" s="2" t="n">
        <f aca="false">IF(AND(EXACT(C92,D92),EXACT(D92,E92)),3,IF(OR(EXACT(C92,D92),EXACT(C92,E92),EXACT(D92,E92)),2,1))</f>
        <v>3</v>
      </c>
      <c r="G92" s="2" t="str">
        <f aca="false">IF(F92=2,IF(EXACT(D92,E92),"ChatGPT",IF(EXACT(C92,E92),"Opus 5","Gemini")),"")</f>
        <v/>
      </c>
      <c r="H92" s="2" t="s">
        <v>71</v>
      </c>
      <c r="I92" s="2" t="s">
        <v>57</v>
      </c>
      <c r="J92" s="2" t="s">
        <v>71</v>
      </c>
      <c r="K92" s="2" t="n">
        <f aca="false">IF(AND(EXACT(H92,I92),EXACT(I92,J92)),3,IF(OR(EXACT(H92,I92),EXACT(H92,J92),EXACT(I92,J92)),2,1))</f>
        <v>2</v>
      </c>
      <c r="L92" s="2" t="str">
        <f aca="false">IF(K92=2,IF(EXACT(I92,J92),"ChatGPT",IF(EXACT(H92,J92),"Opus 5","Gemini")),"")</f>
        <v>Opus 5</v>
      </c>
      <c r="M92" s="2" t="s">
        <v>88</v>
      </c>
      <c r="N92" s="2" t="s">
        <v>72</v>
      </c>
      <c r="O92" s="2" t="s">
        <v>88</v>
      </c>
      <c r="P92" s="2" t="n">
        <f aca="false">IF(AND(EXACT(M92,N92),EXACT(N92,O92)),3,IF(OR(EXACT(M92,N92),EXACT(M92,O92),EXACT(N92,O92)),2,1))</f>
        <v>2</v>
      </c>
      <c r="Q92" s="2" t="str">
        <f aca="false">IF(P92=2,IF(EXACT(N92,O92),"ChatGPT",IF(EXACT(M92,O92),"Opus 5","Gemini")),"")</f>
        <v>Opus 5</v>
      </c>
      <c r="R92" s="2" t="s">
        <v>89</v>
      </c>
      <c r="S92" s="2" t="s">
        <v>74</v>
      </c>
      <c r="T92" s="2" t="s">
        <v>89</v>
      </c>
      <c r="U92" s="2" t="n">
        <f aca="false">IF(AND(EXACT(R92,S92),EXACT(S92,T92)),3,IF(OR(EXACT(R92,S92),EXACT(R92,T92),EXACT(S92,T92)),2,1))</f>
        <v>2</v>
      </c>
      <c r="V92" s="2" t="str">
        <f aca="false">IF(U92=2,IF(EXACT(S92,T92),"ChatGPT",IF(EXACT(R92,T92),"Opus 5","Gemini")),"")</f>
        <v>Opus 5</v>
      </c>
      <c r="W92" s="2" t="n">
        <f aca="false">3-EXACT(B92,C92)-EXACT(B92,D92)-EXACT(B92,E92)</f>
        <v>0</v>
      </c>
      <c r="X92" s="2" t="s">
        <v>412</v>
      </c>
      <c r="Y92" s="2" t="s">
        <v>413</v>
      </c>
      <c r="Z92" s="2" t="s">
        <v>91</v>
      </c>
    </row>
  </sheetData>
  <autoFilter ref="A1:Z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60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3" t="s">
        <v>28</v>
      </c>
      <c r="B1" s="3" t="s">
        <v>29</v>
      </c>
      <c r="C1" s="3" t="s">
        <v>414</v>
      </c>
      <c r="D1" s="3" t="s">
        <v>415</v>
      </c>
      <c r="E1" s="3" t="s">
        <v>416</v>
      </c>
      <c r="F1" s="3" t="s">
        <v>417</v>
      </c>
      <c r="G1" s="3" t="s">
        <v>418</v>
      </c>
      <c r="H1" s="3" t="s">
        <v>18</v>
      </c>
      <c r="I1" s="3" t="s">
        <v>419</v>
      </c>
    </row>
    <row r="2" customFormat="false" ht="15" hidden="false" customHeight="false" outlineLevel="0" collapsed="false">
      <c r="A2" s="2" t="n">
        <v>1</v>
      </c>
      <c r="B2" s="2" t="s">
        <v>53</v>
      </c>
      <c r="C2" s="2" t="s">
        <v>420</v>
      </c>
      <c r="D2" s="2" t="s">
        <v>54</v>
      </c>
      <c r="E2" s="2" t="s">
        <v>56</v>
      </c>
      <c r="F2" s="2" t="s">
        <v>58</v>
      </c>
      <c r="G2" s="2" t="s">
        <v>59</v>
      </c>
      <c r="H2" s="2" t="s">
        <v>62</v>
      </c>
      <c r="I2" s="2" t="str">
        <f aca="false">IF(EXACT(B2,D2),"No","Yes")</f>
        <v>Yes</v>
      </c>
    </row>
    <row r="3" customFormat="false" ht="15" hidden="false" customHeight="false" outlineLevel="0" collapsed="false">
      <c r="A3" s="2" t="n">
        <v>1</v>
      </c>
      <c r="B3" s="2" t="s">
        <v>53</v>
      </c>
      <c r="C3" s="2" t="s">
        <v>421</v>
      </c>
      <c r="D3" s="2" t="s">
        <v>55</v>
      </c>
      <c r="E3" s="2" t="s">
        <v>56</v>
      </c>
      <c r="F3" s="2" t="s">
        <v>58</v>
      </c>
      <c r="G3" s="2" t="s">
        <v>60</v>
      </c>
      <c r="H3" s="2" t="s">
        <v>63</v>
      </c>
      <c r="I3" s="2" t="str">
        <f aca="false">IF(EXACT(B3,D3),"No","Yes")</f>
        <v>Yes</v>
      </c>
    </row>
    <row r="4" customFormat="false" ht="15" hidden="false" customHeight="false" outlineLevel="0" collapsed="false">
      <c r="A4" s="2" t="n">
        <v>1</v>
      </c>
      <c r="B4" s="2" t="s">
        <v>53</v>
      </c>
      <c r="C4" s="2" t="s">
        <v>422</v>
      </c>
      <c r="D4" s="2" t="s">
        <v>53</v>
      </c>
      <c r="E4" s="2" t="s">
        <v>57</v>
      </c>
      <c r="F4" s="2" t="s">
        <v>58</v>
      </c>
      <c r="G4" s="2" t="s">
        <v>61</v>
      </c>
      <c r="H4" s="2" t="s">
        <v>64</v>
      </c>
      <c r="I4" s="2" t="str">
        <f aca="false">IF(EXACT(B4,D4),"No","Yes")</f>
        <v>No</v>
      </c>
    </row>
    <row r="5" customFormat="false" ht="15" hidden="false" customHeight="false" outlineLevel="0" collapsed="false">
      <c r="A5" s="2" t="n">
        <v>2</v>
      </c>
      <c r="B5" s="2" t="s">
        <v>65</v>
      </c>
      <c r="C5" s="2" t="s">
        <v>420</v>
      </c>
      <c r="D5" s="2" t="s">
        <v>65</v>
      </c>
      <c r="E5" s="2" t="s">
        <v>57</v>
      </c>
      <c r="F5" s="2" t="s">
        <v>58</v>
      </c>
      <c r="G5" s="2" t="s">
        <v>61</v>
      </c>
      <c r="H5" s="2" t="s">
        <v>67</v>
      </c>
      <c r="I5" s="2" t="str">
        <f aca="false">IF(EXACT(B5,D5),"No","Yes")</f>
        <v>No</v>
      </c>
    </row>
    <row r="6" customFormat="false" ht="15" hidden="false" customHeight="false" outlineLevel="0" collapsed="false">
      <c r="A6" s="2" t="n">
        <v>2</v>
      </c>
      <c r="B6" s="2" t="s">
        <v>65</v>
      </c>
      <c r="C6" s="2" t="s">
        <v>421</v>
      </c>
      <c r="D6" s="2" t="s">
        <v>65</v>
      </c>
      <c r="E6" s="2" t="s">
        <v>57</v>
      </c>
      <c r="F6" s="2" t="s">
        <v>58</v>
      </c>
      <c r="G6" s="2" t="s">
        <v>66</v>
      </c>
      <c r="H6" s="2" t="s">
        <v>68</v>
      </c>
      <c r="I6" s="2" t="str">
        <f aca="false">IF(EXACT(B6,D6),"No","Yes")</f>
        <v>No</v>
      </c>
    </row>
    <row r="7" customFormat="false" ht="15" hidden="false" customHeight="false" outlineLevel="0" collapsed="false">
      <c r="A7" s="2" t="n">
        <v>2</v>
      </c>
      <c r="B7" s="2" t="s">
        <v>65</v>
      </c>
      <c r="C7" s="2" t="s">
        <v>422</v>
      </c>
      <c r="D7" s="2" t="s">
        <v>65</v>
      </c>
      <c r="E7" s="2" t="s">
        <v>57</v>
      </c>
      <c r="F7" s="2" t="s">
        <v>58</v>
      </c>
      <c r="G7" s="2" t="s">
        <v>61</v>
      </c>
      <c r="H7" s="2" t="s">
        <v>69</v>
      </c>
      <c r="I7" s="2" t="str">
        <f aca="false">IF(EXACT(B7,D7),"No","Yes")</f>
        <v>No</v>
      </c>
    </row>
    <row r="8" customFormat="false" ht="15" hidden="false" customHeight="false" outlineLevel="0" collapsed="false">
      <c r="A8" s="2" t="n">
        <v>3</v>
      </c>
      <c r="B8" s="2" t="s">
        <v>70</v>
      </c>
      <c r="C8" s="2" t="s">
        <v>420</v>
      </c>
      <c r="D8" s="2" t="s">
        <v>70</v>
      </c>
      <c r="E8" s="2" t="s">
        <v>57</v>
      </c>
      <c r="F8" s="2" t="s">
        <v>72</v>
      </c>
      <c r="G8" s="2" t="s">
        <v>74</v>
      </c>
      <c r="H8" s="2" t="s">
        <v>76</v>
      </c>
      <c r="I8" s="2" t="str">
        <f aca="false">IF(EXACT(B8,D8),"No","Yes")</f>
        <v>No</v>
      </c>
    </row>
    <row r="9" customFormat="false" ht="15" hidden="false" customHeight="false" outlineLevel="0" collapsed="false">
      <c r="A9" s="2" t="n">
        <v>3</v>
      </c>
      <c r="B9" s="2" t="s">
        <v>70</v>
      </c>
      <c r="C9" s="2" t="s">
        <v>421</v>
      </c>
      <c r="D9" s="2" t="s">
        <v>70</v>
      </c>
      <c r="E9" s="2" t="s">
        <v>57</v>
      </c>
      <c r="F9" s="2" t="s">
        <v>72</v>
      </c>
      <c r="G9" s="2" t="s">
        <v>60</v>
      </c>
      <c r="H9" s="2" t="s">
        <v>77</v>
      </c>
      <c r="I9" s="2" t="str">
        <f aca="false">IF(EXACT(B9,D9),"No","Yes")</f>
        <v>No</v>
      </c>
    </row>
    <row r="10" customFormat="false" ht="15" hidden="false" customHeight="false" outlineLevel="0" collapsed="false">
      <c r="A10" s="2" t="n">
        <v>3</v>
      </c>
      <c r="B10" s="2" t="s">
        <v>70</v>
      </c>
      <c r="C10" s="2" t="s">
        <v>422</v>
      </c>
      <c r="D10" s="2" t="s">
        <v>70</v>
      </c>
      <c r="E10" s="2" t="s">
        <v>71</v>
      </c>
      <c r="F10" s="2" t="s">
        <v>73</v>
      </c>
      <c r="G10" s="2" t="s">
        <v>75</v>
      </c>
      <c r="H10" s="2" t="s">
        <v>78</v>
      </c>
      <c r="I10" s="2" t="str">
        <f aca="false">IF(EXACT(B10,D10),"No","Yes")</f>
        <v>No</v>
      </c>
    </row>
    <row r="11" customFormat="false" ht="15" hidden="false" customHeight="false" outlineLevel="0" collapsed="false">
      <c r="A11" s="2" t="n">
        <v>4</v>
      </c>
      <c r="B11" s="2" t="s">
        <v>79</v>
      </c>
      <c r="C11" s="2" t="s">
        <v>420</v>
      </c>
      <c r="D11" s="2" t="s">
        <v>79</v>
      </c>
      <c r="E11" s="2" t="s">
        <v>57</v>
      </c>
      <c r="F11" s="2" t="s">
        <v>72</v>
      </c>
      <c r="G11" s="2" t="s">
        <v>74</v>
      </c>
      <c r="H11" s="2" t="s">
        <v>82</v>
      </c>
      <c r="I11" s="2" t="str">
        <f aca="false">IF(EXACT(B11,D11),"No","Yes")</f>
        <v>No</v>
      </c>
    </row>
    <row r="12" customFormat="false" ht="15" hidden="false" customHeight="false" outlineLevel="0" collapsed="false">
      <c r="A12" s="2" t="n">
        <v>4</v>
      </c>
      <c r="B12" s="2" t="s">
        <v>79</v>
      </c>
      <c r="C12" s="2" t="s">
        <v>421</v>
      </c>
      <c r="D12" s="2" t="s">
        <v>79</v>
      </c>
      <c r="E12" s="2" t="s">
        <v>80</v>
      </c>
      <c r="F12" s="2" t="s">
        <v>72</v>
      </c>
      <c r="G12" s="2" t="s">
        <v>81</v>
      </c>
      <c r="H12" s="2" t="s">
        <v>83</v>
      </c>
      <c r="I12" s="2" t="str">
        <f aca="false">IF(EXACT(B12,D12),"No","Yes")</f>
        <v>No</v>
      </c>
    </row>
    <row r="13" customFormat="false" ht="15" hidden="false" customHeight="false" outlineLevel="0" collapsed="false">
      <c r="A13" s="2" t="n">
        <v>4</v>
      </c>
      <c r="B13" s="2" t="s">
        <v>79</v>
      </c>
      <c r="C13" s="2" t="s">
        <v>422</v>
      </c>
      <c r="D13" s="2" t="s">
        <v>79</v>
      </c>
      <c r="E13" s="2" t="s">
        <v>71</v>
      </c>
      <c r="F13" s="2" t="s">
        <v>73</v>
      </c>
      <c r="G13" s="2" t="s">
        <v>75</v>
      </c>
      <c r="H13" s="2" t="s">
        <v>84</v>
      </c>
      <c r="I13" s="2" t="str">
        <f aca="false">IF(EXACT(B13,D13),"No","Yes")</f>
        <v>No</v>
      </c>
    </row>
    <row r="14" customFormat="false" ht="15" hidden="false" customHeight="false" outlineLevel="0" collapsed="false">
      <c r="A14" s="2" t="n">
        <v>5</v>
      </c>
      <c r="B14" s="2" t="s">
        <v>85</v>
      </c>
      <c r="C14" s="2" t="s">
        <v>420</v>
      </c>
      <c r="D14" s="2" t="s">
        <v>85</v>
      </c>
      <c r="E14" s="2" t="s">
        <v>71</v>
      </c>
      <c r="F14" s="2" t="s">
        <v>88</v>
      </c>
      <c r="G14" s="2" t="s">
        <v>89</v>
      </c>
      <c r="H14" s="2" t="s">
        <v>91</v>
      </c>
      <c r="I14" s="2" t="str">
        <f aca="false">IF(EXACT(B14,D14),"No","Yes")</f>
        <v>No</v>
      </c>
    </row>
    <row r="15" customFormat="false" ht="15" hidden="false" customHeight="false" outlineLevel="0" collapsed="false">
      <c r="A15" s="2" t="n">
        <v>5</v>
      </c>
      <c r="B15" s="2" t="s">
        <v>85</v>
      </c>
      <c r="C15" s="2" t="s">
        <v>421</v>
      </c>
      <c r="D15" s="2" t="s">
        <v>86</v>
      </c>
      <c r="E15" s="2" t="s">
        <v>56</v>
      </c>
      <c r="F15" s="2" t="s">
        <v>58</v>
      </c>
      <c r="G15" s="2" t="s">
        <v>90</v>
      </c>
      <c r="H15" s="2" t="s">
        <v>92</v>
      </c>
      <c r="I15" s="2" t="str">
        <f aca="false">IF(EXACT(B15,D15),"No","Yes")</f>
        <v>Yes</v>
      </c>
    </row>
    <row r="16" customFormat="false" ht="15" hidden="false" customHeight="false" outlineLevel="0" collapsed="false">
      <c r="A16" s="2" t="n">
        <v>5</v>
      </c>
      <c r="B16" s="2" t="s">
        <v>85</v>
      </c>
      <c r="C16" s="2" t="s">
        <v>422</v>
      </c>
      <c r="D16" s="2" t="s">
        <v>87</v>
      </c>
      <c r="E16" s="2" t="s">
        <v>56</v>
      </c>
      <c r="F16" s="2" t="s">
        <v>58</v>
      </c>
      <c r="G16" s="2" t="s">
        <v>90</v>
      </c>
      <c r="H16" s="2" t="s">
        <v>93</v>
      </c>
      <c r="I16" s="2" t="str">
        <f aca="false">IF(EXACT(B16,D16),"No","Yes")</f>
        <v>Yes</v>
      </c>
    </row>
    <row r="17" customFormat="false" ht="15" hidden="false" customHeight="false" outlineLevel="0" collapsed="false">
      <c r="A17" s="2" t="n">
        <v>6</v>
      </c>
      <c r="B17" s="2" t="s">
        <v>94</v>
      </c>
      <c r="C17" s="2" t="s">
        <v>420</v>
      </c>
      <c r="D17" s="2" t="s">
        <v>94</v>
      </c>
      <c r="E17" s="2" t="s">
        <v>71</v>
      </c>
      <c r="F17" s="2" t="s">
        <v>73</v>
      </c>
      <c r="G17" s="2" t="s">
        <v>75</v>
      </c>
      <c r="H17" s="2" t="s">
        <v>95</v>
      </c>
      <c r="I17" s="2" t="str">
        <f aca="false">IF(EXACT(B17,D17),"No","Yes")</f>
        <v>No</v>
      </c>
    </row>
    <row r="18" customFormat="false" ht="15" hidden="false" customHeight="false" outlineLevel="0" collapsed="false">
      <c r="A18" s="2" t="n">
        <v>6</v>
      </c>
      <c r="B18" s="2" t="s">
        <v>94</v>
      </c>
      <c r="C18" s="2" t="s">
        <v>421</v>
      </c>
      <c r="D18" s="2" t="s">
        <v>94</v>
      </c>
      <c r="E18" s="2" t="s">
        <v>71</v>
      </c>
      <c r="F18" s="2" t="s">
        <v>73</v>
      </c>
      <c r="G18" s="2" t="s">
        <v>75</v>
      </c>
      <c r="H18" s="2" t="s">
        <v>96</v>
      </c>
      <c r="I18" s="2" t="str">
        <f aca="false">IF(EXACT(B18,D18),"No","Yes")</f>
        <v>No</v>
      </c>
    </row>
    <row r="19" customFormat="false" ht="15" hidden="false" customHeight="false" outlineLevel="0" collapsed="false">
      <c r="A19" s="2" t="n">
        <v>6</v>
      </c>
      <c r="B19" s="2" t="s">
        <v>94</v>
      </c>
      <c r="C19" s="2" t="s">
        <v>422</v>
      </c>
      <c r="D19" s="2" t="s">
        <v>94</v>
      </c>
      <c r="E19" s="2" t="s">
        <v>71</v>
      </c>
      <c r="F19" s="2" t="s">
        <v>73</v>
      </c>
      <c r="G19" s="2" t="s">
        <v>75</v>
      </c>
      <c r="H19" s="2" t="s">
        <v>97</v>
      </c>
      <c r="I19" s="2" t="str">
        <f aca="false">IF(EXACT(B19,D19),"No","Yes")</f>
        <v>No</v>
      </c>
    </row>
    <row r="20" customFormat="false" ht="15" hidden="false" customHeight="false" outlineLevel="0" collapsed="false">
      <c r="A20" s="2" t="n">
        <v>7</v>
      </c>
      <c r="B20" s="2" t="s">
        <v>98</v>
      </c>
      <c r="C20" s="2" t="s">
        <v>420</v>
      </c>
      <c r="D20" s="2" t="s">
        <v>98</v>
      </c>
      <c r="E20" s="2" t="s">
        <v>71</v>
      </c>
      <c r="F20" s="2" t="s">
        <v>73</v>
      </c>
      <c r="G20" s="2" t="s">
        <v>75</v>
      </c>
      <c r="H20" s="2" t="s">
        <v>84</v>
      </c>
      <c r="I20" s="2" t="str">
        <f aca="false">IF(EXACT(B20,D20),"No","Yes")</f>
        <v>No</v>
      </c>
    </row>
    <row r="21" customFormat="false" ht="15" hidden="false" customHeight="false" outlineLevel="0" collapsed="false">
      <c r="A21" s="2" t="n">
        <v>7</v>
      </c>
      <c r="B21" s="2" t="s">
        <v>98</v>
      </c>
      <c r="C21" s="2" t="s">
        <v>421</v>
      </c>
      <c r="D21" s="2" t="s">
        <v>98</v>
      </c>
      <c r="E21" s="2" t="s">
        <v>71</v>
      </c>
      <c r="F21" s="2" t="s">
        <v>73</v>
      </c>
      <c r="G21" s="2" t="s">
        <v>75</v>
      </c>
      <c r="H21" s="2" t="s">
        <v>83</v>
      </c>
      <c r="I21" s="2" t="str">
        <f aca="false">IF(EXACT(B21,D21),"No","Yes")</f>
        <v>No</v>
      </c>
    </row>
    <row r="22" customFormat="false" ht="15" hidden="false" customHeight="false" outlineLevel="0" collapsed="false">
      <c r="A22" s="2" t="n">
        <v>7</v>
      </c>
      <c r="B22" s="2" t="s">
        <v>98</v>
      </c>
      <c r="C22" s="2" t="s">
        <v>422</v>
      </c>
      <c r="D22" s="2" t="s">
        <v>98</v>
      </c>
      <c r="E22" s="2" t="s">
        <v>71</v>
      </c>
      <c r="F22" s="2" t="s">
        <v>73</v>
      </c>
      <c r="G22" s="2" t="s">
        <v>75</v>
      </c>
      <c r="H22" s="2" t="s">
        <v>84</v>
      </c>
      <c r="I22" s="2" t="str">
        <f aca="false">IF(EXACT(B22,D22),"No","Yes")</f>
        <v>No</v>
      </c>
    </row>
    <row r="23" customFormat="false" ht="15" hidden="false" customHeight="false" outlineLevel="0" collapsed="false">
      <c r="A23" s="2" t="n">
        <v>8</v>
      </c>
      <c r="B23" s="2" t="s">
        <v>99</v>
      </c>
      <c r="C23" s="2" t="s">
        <v>420</v>
      </c>
      <c r="D23" s="2" t="s">
        <v>99</v>
      </c>
      <c r="E23" s="2" t="s">
        <v>57</v>
      </c>
      <c r="F23" s="2" t="s">
        <v>72</v>
      </c>
      <c r="G23" s="2" t="s">
        <v>74</v>
      </c>
      <c r="H23" s="2" t="s">
        <v>100</v>
      </c>
      <c r="I23" s="2" t="str">
        <f aca="false">IF(EXACT(B23,D23),"No","Yes")</f>
        <v>No</v>
      </c>
    </row>
    <row r="24" customFormat="false" ht="15" hidden="false" customHeight="false" outlineLevel="0" collapsed="false">
      <c r="A24" s="2" t="n">
        <v>8</v>
      </c>
      <c r="B24" s="2" t="s">
        <v>99</v>
      </c>
      <c r="C24" s="2" t="s">
        <v>421</v>
      </c>
      <c r="D24" s="2" t="s">
        <v>99</v>
      </c>
      <c r="E24" s="2" t="s">
        <v>71</v>
      </c>
      <c r="F24" s="2" t="s">
        <v>73</v>
      </c>
      <c r="G24" s="2" t="s">
        <v>75</v>
      </c>
      <c r="H24" s="2" t="s">
        <v>101</v>
      </c>
      <c r="I24" s="2" t="str">
        <f aca="false">IF(EXACT(B24,D24),"No","Yes")</f>
        <v>No</v>
      </c>
    </row>
    <row r="25" customFormat="false" ht="15" hidden="false" customHeight="false" outlineLevel="0" collapsed="false">
      <c r="A25" s="2" t="n">
        <v>8</v>
      </c>
      <c r="B25" s="2" t="s">
        <v>99</v>
      </c>
      <c r="C25" s="2" t="s">
        <v>422</v>
      </c>
      <c r="D25" s="2" t="s">
        <v>99</v>
      </c>
      <c r="E25" s="2" t="s">
        <v>71</v>
      </c>
      <c r="F25" s="2" t="s">
        <v>73</v>
      </c>
      <c r="G25" s="2" t="s">
        <v>75</v>
      </c>
      <c r="H25" s="2" t="s">
        <v>102</v>
      </c>
      <c r="I25" s="2" t="str">
        <f aca="false">IF(EXACT(B25,D25),"No","Yes")</f>
        <v>No</v>
      </c>
    </row>
    <row r="26" customFormat="false" ht="15" hidden="false" customHeight="false" outlineLevel="0" collapsed="false">
      <c r="A26" s="2" t="n">
        <v>9</v>
      </c>
      <c r="B26" s="2" t="s">
        <v>103</v>
      </c>
      <c r="C26" s="2" t="s">
        <v>420</v>
      </c>
      <c r="D26" s="2" t="s">
        <v>104</v>
      </c>
      <c r="E26" s="2" t="s">
        <v>56</v>
      </c>
      <c r="F26" s="2" t="s">
        <v>58</v>
      </c>
      <c r="G26" s="2" t="s">
        <v>59</v>
      </c>
      <c r="H26" s="2" t="s">
        <v>105</v>
      </c>
      <c r="I26" s="2" t="str">
        <f aca="false">IF(EXACT(B26,D26),"No","Yes")</f>
        <v>Yes</v>
      </c>
    </row>
    <row r="27" customFormat="false" ht="15" hidden="false" customHeight="false" outlineLevel="0" collapsed="false">
      <c r="A27" s="2" t="n">
        <v>9</v>
      </c>
      <c r="B27" s="2" t="s">
        <v>103</v>
      </c>
      <c r="C27" s="2" t="s">
        <v>421</v>
      </c>
      <c r="D27" s="2" t="s">
        <v>104</v>
      </c>
      <c r="E27" s="2" t="s">
        <v>56</v>
      </c>
      <c r="F27" s="2" t="s">
        <v>58</v>
      </c>
      <c r="G27" s="2" t="s">
        <v>61</v>
      </c>
      <c r="H27" s="2" t="s">
        <v>106</v>
      </c>
      <c r="I27" s="2" t="str">
        <f aca="false">IF(EXACT(B27,D27),"No","Yes")</f>
        <v>Yes</v>
      </c>
    </row>
    <row r="28" customFormat="false" ht="15" hidden="false" customHeight="false" outlineLevel="0" collapsed="false">
      <c r="A28" s="2" t="n">
        <v>9</v>
      </c>
      <c r="B28" s="2" t="s">
        <v>103</v>
      </c>
      <c r="C28" s="2" t="s">
        <v>422</v>
      </c>
      <c r="D28" s="2" t="s">
        <v>104</v>
      </c>
      <c r="E28" s="2" t="s">
        <v>56</v>
      </c>
      <c r="F28" s="2" t="s">
        <v>58</v>
      </c>
      <c r="G28" s="2" t="s">
        <v>61</v>
      </c>
      <c r="H28" s="2" t="s">
        <v>107</v>
      </c>
      <c r="I28" s="2" t="str">
        <f aca="false">IF(EXACT(B28,D28),"No","Yes")</f>
        <v>Yes</v>
      </c>
    </row>
    <row r="29" customFormat="false" ht="15" hidden="false" customHeight="false" outlineLevel="0" collapsed="false">
      <c r="A29" s="2" t="n">
        <v>10</v>
      </c>
      <c r="B29" s="2" t="s">
        <v>108</v>
      </c>
      <c r="C29" s="2" t="s">
        <v>420</v>
      </c>
      <c r="D29" s="2" t="s">
        <v>109</v>
      </c>
      <c r="E29" s="2" t="s">
        <v>56</v>
      </c>
      <c r="F29" s="2" t="s">
        <v>88</v>
      </c>
      <c r="G29" s="2" t="s">
        <v>59</v>
      </c>
      <c r="H29" s="2" t="s">
        <v>91</v>
      </c>
      <c r="I29" s="2" t="str">
        <f aca="false">IF(EXACT(B29,D29),"No","Yes")</f>
        <v>Yes</v>
      </c>
    </row>
    <row r="30" customFormat="false" ht="15" hidden="false" customHeight="false" outlineLevel="0" collapsed="false">
      <c r="A30" s="2" t="n">
        <v>10</v>
      </c>
      <c r="B30" s="2" t="s">
        <v>108</v>
      </c>
      <c r="C30" s="2" t="s">
        <v>421</v>
      </c>
      <c r="D30" s="2" t="s">
        <v>108</v>
      </c>
      <c r="E30" s="2" t="s">
        <v>80</v>
      </c>
      <c r="F30" s="2" t="s">
        <v>88</v>
      </c>
      <c r="G30" s="2" t="s">
        <v>90</v>
      </c>
      <c r="H30" s="2" t="s">
        <v>110</v>
      </c>
      <c r="I30" s="2" t="str">
        <f aca="false">IF(EXACT(B30,D30),"No","Yes")</f>
        <v>No</v>
      </c>
    </row>
    <row r="31" customFormat="false" ht="15" hidden="false" customHeight="false" outlineLevel="0" collapsed="false">
      <c r="A31" s="2" t="n">
        <v>10</v>
      </c>
      <c r="B31" s="2" t="s">
        <v>108</v>
      </c>
      <c r="C31" s="2" t="s">
        <v>422</v>
      </c>
      <c r="D31" s="2" t="s">
        <v>108</v>
      </c>
      <c r="E31" s="2" t="s">
        <v>71</v>
      </c>
      <c r="F31" s="2" t="s">
        <v>88</v>
      </c>
      <c r="G31" s="2" t="s">
        <v>89</v>
      </c>
      <c r="H31" s="2" t="s">
        <v>91</v>
      </c>
      <c r="I31" s="2" t="str">
        <f aca="false">IF(EXACT(B31,D31),"No","Yes")</f>
        <v>No</v>
      </c>
    </row>
    <row r="32" customFormat="false" ht="15" hidden="false" customHeight="false" outlineLevel="0" collapsed="false">
      <c r="A32" s="2" t="n">
        <v>11</v>
      </c>
      <c r="B32" s="2" t="s">
        <v>111</v>
      </c>
      <c r="C32" s="2" t="s">
        <v>420</v>
      </c>
      <c r="D32" s="2" t="s">
        <v>112</v>
      </c>
      <c r="E32" s="2" t="s">
        <v>56</v>
      </c>
      <c r="F32" s="2" t="s">
        <v>114</v>
      </c>
      <c r="G32" s="2" t="s">
        <v>59</v>
      </c>
      <c r="H32" s="2" t="s">
        <v>115</v>
      </c>
      <c r="I32" s="2" t="str">
        <f aca="false">IF(EXACT(B32,D32),"No","Yes")</f>
        <v>Yes</v>
      </c>
    </row>
    <row r="33" customFormat="false" ht="15" hidden="false" customHeight="false" outlineLevel="0" collapsed="false">
      <c r="A33" s="2" t="n">
        <v>11</v>
      </c>
      <c r="B33" s="2" t="s">
        <v>111</v>
      </c>
      <c r="C33" s="2" t="s">
        <v>421</v>
      </c>
      <c r="D33" s="2" t="s">
        <v>113</v>
      </c>
      <c r="E33" s="2" t="s">
        <v>56</v>
      </c>
      <c r="F33" s="2" t="s">
        <v>58</v>
      </c>
      <c r="G33" s="2" t="s">
        <v>59</v>
      </c>
      <c r="H33" s="2" t="s">
        <v>116</v>
      </c>
      <c r="I33" s="2" t="str">
        <f aca="false">IF(EXACT(B33,D33),"No","Yes")</f>
        <v>Yes</v>
      </c>
    </row>
    <row r="34" customFormat="false" ht="15" hidden="false" customHeight="false" outlineLevel="0" collapsed="false">
      <c r="A34" s="2" t="n">
        <v>11</v>
      </c>
      <c r="B34" s="2" t="s">
        <v>111</v>
      </c>
      <c r="C34" s="2" t="s">
        <v>422</v>
      </c>
      <c r="D34" s="2" t="s">
        <v>111</v>
      </c>
      <c r="E34" s="2" t="s">
        <v>71</v>
      </c>
      <c r="F34" s="2" t="s">
        <v>114</v>
      </c>
      <c r="G34" s="2" t="s">
        <v>66</v>
      </c>
      <c r="H34" s="2" t="s">
        <v>117</v>
      </c>
      <c r="I34" s="2" t="str">
        <f aca="false">IF(EXACT(B34,D34),"No","Yes")</f>
        <v>No</v>
      </c>
    </row>
    <row r="35" customFormat="false" ht="15" hidden="false" customHeight="false" outlineLevel="0" collapsed="false">
      <c r="A35" s="2" t="n">
        <v>12</v>
      </c>
      <c r="B35" s="2" t="s">
        <v>118</v>
      </c>
      <c r="C35" s="2" t="s">
        <v>420</v>
      </c>
      <c r="D35" s="2" t="s">
        <v>118</v>
      </c>
      <c r="E35" s="2" t="s">
        <v>71</v>
      </c>
      <c r="F35" s="2" t="s">
        <v>73</v>
      </c>
      <c r="G35" s="2" t="s">
        <v>75</v>
      </c>
      <c r="H35" s="2" t="s">
        <v>121</v>
      </c>
      <c r="I35" s="2" t="str">
        <f aca="false">IF(EXACT(B35,D35),"No","Yes")</f>
        <v>No</v>
      </c>
    </row>
    <row r="36" customFormat="false" ht="15" hidden="false" customHeight="false" outlineLevel="0" collapsed="false">
      <c r="A36" s="2" t="n">
        <v>12</v>
      </c>
      <c r="B36" s="2" t="s">
        <v>118</v>
      </c>
      <c r="C36" s="2" t="s">
        <v>421</v>
      </c>
      <c r="D36" s="2" t="s">
        <v>119</v>
      </c>
      <c r="E36" s="2" t="s">
        <v>56</v>
      </c>
      <c r="F36" s="2" t="s">
        <v>72</v>
      </c>
      <c r="G36" s="2" t="s">
        <v>120</v>
      </c>
      <c r="H36" s="2" t="s">
        <v>122</v>
      </c>
      <c r="I36" s="2" t="str">
        <f aca="false">IF(EXACT(B36,D36),"No","Yes")</f>
        <v>Yes</v>
      </c>
    </row>
    <row r="37" customFormat="false" ht="15" hidden="false" customHeight="false" outlineLevel="0" collapsed="false">
      <c r="A37" s="2" t="n">
        <v>12</v>
      </c>
      <c r="B37" s="2" t="s">
        <v>118</v>
      </c>
      <c r="C37" s="2" t="s">
        <v>422</v>
      </c>
      <c r="D37" s="2" t="s">
        <v>118</v>
      </c>
      <c r="E37" s="2" t="s">
        <v>71</v>
      </c>
      <c r="F37" s="2" t="s">
        <v>73</v>
      </c>
      <c r="G37" s="2" t="s">
        <v>75</v>
      </c>
      <c r="H37" s="2" t="s">
        <v>123</v>
      </c>
      <c r="I37" s="2" t="str">
        <f aca="false">IF(EXACT(B37,D37),"No","Yes")</f>
        <v>No</v>
      </c>
    </row>
    <row r="38" customFormat="false" ht="15" hidden="false" customHeight="false" outlineLevel="0" collapsed="false">
      <c r="A38" s="2" t="n">
        <v>13</v>
      </c>
      <c r="B38" s="2" t="s">
        <v>124</v>
      </c>
      <c r="C38" s="2" t="s">
        <v>420</v>
      </c>
      <c r="D38" s="2" t="s">
        <v>124</v>
      </c>
      <c r="E38" s="2" t="s">
        <v>57</v>
      </c>
      <c r="F38" s="2" t="s">
        <v>58</v>
      </c>
      <c r="G38" s="2" t="s">
        <v>61</v>
      </c>
      <c r="H38" s="2" t="s">
        <v>125</v>
      </c>
      <c r="I38" s="2" t="str">
        <f aca="false">IF(EXACT(B38,D38),"No","Yes")</f>
        <v>No</v>
      </c>
    </row>
    <row r="39" customFormat="false" ht="15" hidden="false" customHeight="false" outlineLevel="0" collapsed="false">
      <c r="A39" s="2" t="n">
        <v>13</v>
      </c>
      <c r="B39" s="2" t="s">
        <v>124</v>
      </c>
      <c r="C39" s="2" t="s">
        <v>421</v>
      </c>
      <c r="D39" s="2" t="s">
        <v>124</v>
      </c>
      <c r="E39" s="2" t="s">
        <v>57</v>
      </c>
      <c r="F39" s="2" t="s">
        <v>58</v>
      </c>
      <c r="G39" s="2" t="s">
        <v>61</v>
      </c>
      <c r="H39" s="2" t="s">
        <v>126</v>
      </c>
      <c r="I39" s="2" t="str">
        <f aca="false">IF(EXACT(B39,D39),"No","Yes")</f>
        <v>No</v>
      </c>
    </row>
    <row r="40" customFormat="false" ht="15" hidden="false" customHeight="false" outlineLevel="0" collapsed="false">
      <c r="A40" s="2" t="n">
        <v>13</v>
      </c>
      <c r="B40" s="2" t="s">
        <v>124</v>
      </c>
      <c r="C40" s="2" t="s">
        <v>422</v>
      </c>
      <c r="D40" s="2" t="s">
        <v>124</v>
      </c>
      <c r="E40" s="2" t="s">
        <v>57</v>
      </c>
      <c r="F40" s="2" t="s">
        <v>58</v>
      </c>
      <c r="G40" s="2" t="s">
        <v>61</v>
      </c>
      <c r="H40" s="2" t="s">
        <v>125</v>
      </c>
      <c r="I40" s="2" t="str">
        <f aca="false">IF(EXACT(B40,D40),"No","Yes")</f>
        <v>No</v>
      </c>
    </row>
    <row r="41" customFormat="false" ht="15" hidden="false" customHeight="false" outlineLevel="0" collapsed="false">
      <c r="A41" s="2" t="n">
        <v>14</v>
      </c>
      <c r="B41" s="2" t="s">
        <v>127</v>
      </c>
      <c r="C41" s="2" t="s">
        <v>420</v>
      </c>
      <c r="D41" s="2" t="s">
        <v>127</v>
      </c>
      <c r="E41" s="2" t="s">
        <v>71</v>
      </c>
      <c r="F41" s="2" t="s">
        <v>73</v>
      </c>
      <c r="G41" s="2" t="s">
        <v>75</v>
      </c>
      <c r="H41" s="2" t="s">
        <v>128</v>
      </c>
      <c r="I41" s="2" t="str">
        <f aca="false">IF(EXACT(B41,D41),"No","Yes")</f>
        <v>No</v>
      </c>
    </row>
    <row r="42" customFormat="false" ht="15" hidden="false" customHeight="false" outlineLevel="0" collapsed="false">
      <c r="A42" s="2" t="n">
        <v>14</v>
      </c>
      <c r="B42" s="2" t="s">
        <v>127</v>
      </c>
      <c r="C42" s="2" t="s">
        <v>421</v>
      </c>
      <c r="D42" s="2" t="s">
        <v>127</v>
      </c>
      <c r="E42" s="2" t="s">
        <v>71</v>
      </c>
      <c r="F42" s="2" t="s">
        <v>73</v>
      </c>
      <c r="G42" s="2" t="s">
        <v>75</v>
      </c>
      <c r="H42" s="2" t="s">
        <v>129</v>
      </c>
      <c r="I42" s="2" t="str">
        <f aca="false">IF(EXACT(B42,D42),"No","Yes")</f>
        <v>No</v>
      </c>
    </row>
    <row r="43" customFormat="false" ht="15" hidden="false" customHeight="false" outlineLevel="0" collapsed="false">
      <c r="A43" s="2" t="n">
        <v>14</v>
      </c>
      <c r="B43" s="2" t="s">
        <v>127</v>
      </c>
      <c r="C43" s="2" t="s">
        <v>422</v>
      </c>
      <c r="D43" s="2" t="s">
        <v>127</v>
      </c>
      <c r="E43" s="2" t="s">
        <v>71</v>
      </c>
      <c r="F43" s="2" t="s">
        <v>73</v>
      </c>
      <c r="G43" s="2" t="s">
        <v>75</v>
      </c>
      <c r="H43" s="2" t="s">
        <v>130</v>
      </c>
      <c r="I43" s="2" t="str">
        <f aca="false">IF(EXACT(B43,D43),"No","Yes")</f>
        <v>No</v>
      </c>
    </row>
    <row r="44" customFormat="false" ht="15" hidden="false" customHeight="false" outlineLevel="0" collapsed="false">
      <c r="A44" s="2" t="n">
        <v>15</v>
      </c>
      <c r="B44" s="2" t="s">
        <v>131</v>
      </c>
      <c r="C44" s="2" t="s">
        <v>420</v>
      </c>
      <c r="D44" s="2" t="s">
        <v>131</v>
      </c>
      <c r="E44" s="2" t="s">
        <v>71</v>
      </c>
      <c r="F44" s="2" t="s">
        <v>73</v>
      </c>
      <c r="G44" s="2" t="s">
        <v>75</v>
      </c>
      <c r="H44" s="2" t="s">
        <v>132</v>
      </c>
      <c r="I44" s="2" t="str">
        <f aca="false">IF(EXACT(B44,D44),"No","Yes")</f>
        <v>No</v>
      </c>
    </row>
    <row r="45" customFormat="false" ht="15" hidden="false" customHeight="false" outlineLevel="0" collapsed="false">
      <c r="A45" s="2" t="n">
        <v>15</v>
      </c>
      <c r="B45" s="2" t="s">
        <v>131</v>
      </c>
      <c r="C45" s="2" t="s">
        <v>421</v>
      </c>
      <c r="D45" s="2" t="s">
        <v>131</v>
      </c>
      <c r="E45" s="2" t="s">
        <v>80</v>
      </c>
      <c r="F45" s="2" t="s">
        <v>73</v>
      </c>
      <c r="G45" s="2" t="s">
        <v>75</v>
      </c>
      <c r="H45" s="2" t="s">
        <v>133</v>
      </c>
      <c r="I45" s="2" t="str">
        <f aca="false">IF(EXACT(B45,D45),"No","Yes")</f>
        <v>No</v>
      </c>
    </row>
    <row r="46" customFormat="false" ht="15" hidden="false" customHeight="false" outlineLevel="0" collapsed="false">
      <c r="A46" s="2" t="n">
        <v>15</v>
      </c>
      <c r="B46" s="2" t="s">
        <v>131</v>
      </c>
      <c r="C46" s="2" t="s">
        <v>422</v>
      </c>
      <c r="D46" s="2" t="s">
        <v>131</v>
      </c>
      <c r="E46" s="2" t="s">
        <v>71</v>
      </c>
      <c r="F46" s="2" t="s">
        <v>73</v>
      </c>
      <c r="G46" s="2" t="s">
        <v>75</v>
      </c>
      <c r="H46" s="2" t="s">
        <v>134</v>
      </c>
      <c r="I46" s="2" t="str">
        <f aca="false">IF(EXACT(B46,D46),"No","Yes")</f>
        <v>No</v>
      </c>
    </row>
    <row r="47" customFormat="false" ht="15" hidden="false" customHeight="false" outlineLevel="0" collapsed="false">
      <c r="A47" s="2" t="n">
        <v>16</v>
      </c>
      <c r="B47" s="2" t="s">
        <v>135</v>
      </c>
      <c r="C47" s="2" t="s">
        <v>420</v>
      </c>
      <c r="D47" s="2" t="s">
        <v>135</v>
      </c>
      <c r="E47" s="2" t="s">
        <v>57</v>
      </c>
      <c r="F47" s="2" t="s">
        <v>72</v>
      </c>
      <c r="G47" s="2" t="s">
        <v>74</v>
      </c>
      <c r="H47" s="2" t="s">
        <v>136</v>
      </c>
      <c r="I47" s="2" t="str">
        <f aca="false">IF(EXACT(B47,D47),"No","Yes")</f>
        <v>No</v>
      </c>
    </row>
    <row r="48" customFormat="false" ht="15" hidden="false" customHeight="false" outlineLevel="0" collapsed="false">
      <c r="A48" s="2" t="n">
        <v>16</v>
      </c>
      <c r="B48" s="2" t="s">
        <v>135</v>
      </c>
      <c r="C48" s="2" t="s">
        <v>421</v>
      </c>
      <c r="D48" s="2" t="s">
        <v>135</v>
      </c>
      <c r="E48" s="2" t="s">
        <v>57</v>
      </c>
      <c r="F48" s="2" t="s">
        <v>72</v>
      </c>
      <c r="G48" s="2" t="s">
        <v>60</v>
      </c>
      <c r="H48" s="2" t="s">
        <v>137</v>
      </c>
      <c r="I48" s="2" t="str">
        <f aca="false">IF(EXACT(B48,D48),"No","Yes")</f>
        <v>No</v>
      </c>
    </row>
    <row r="49" customFormat="false" ht="15" hidden="false" customHeight="false" outlineLevel="0" collapsed="false">
      <c r="A49" s="2" t="n">
        <v>16</v>
      </c>
      <c r="B49" s="2" t="s">
        <v>135</v>
      </c>
      <c r="C49" s="2" t="s">
        <v>422</v>
      </c>
      <c r="D49" s="2" t="s">
        <v>135</v>
      </c>
      <c r="E49" s="2" t="s">
        <v>71</v>
      </c>
      <c r="F49" s="2" t="s">
        <v>72</v>
      </c>
      <c r="G49" s="2" t="s">
        <v>74</v>
      </c>
      <c r="H49" s="2" t="s">
        <v>138</v>
      </c>
      <c r="I49" s="2" t="str">
        <f aca="false">IF(EXACT(B49,D49),"No","Yes")</f>
        <v>No</v>
      </c>
    </row>
    <row r="50" customFormat="false" ht="15" hidden="false" customHeight="false" outlineLevel="0" collapsed="false">
      <c r="A50" s="2" t="n">
        <v>17</v>
      </c>
      <c r="B50" s="2" t="s">
        <v>139</v>
      </c>
      <c r="C50" s="2" t="s">
        <v>420</v>
      </c>
      <c r="D50" s="2" t="s">
        <v>139</v>
      </c>
      <c r="E50" s="2" t="s">
        <v>57</v>
      </c>
      <c r="F50" s="2" t="s">
        <v>58</v>
      </c>
      <c r="G50" s="2" t="s">
        <v>66</v>
      </c>
      <c r="H50" s="2" t="s">
        <v>140</v>
      </c>
      <c r="I50" s="2" t="str">
        <f aca="false">IF(EXACT(B50,D50),"No","Yes")</f>
        <v>No</v>
      </c>
    </row>
    <row r="51" customFormat="false" ht="15" hidden="false" customHeight="false" outlineLevel="0" collapsed="false">
      <c r="A51" s="2" t="n">
        <v>17</v>
      </c>
      <c r="B51" s="2" t="s">
        <v>139</v>
      </c>
      <c r="C51" s="2" t="s">
        <v>421</v>
      </c>
      <c r="D51" s="2" t="s">
        <v>139</v>
      </c>
      <c r="E51" s="2" t="s">
        <v>57</v>
      </c>
      <c r="F51" s="2" t="s">
        <v>58</v>
      </c>
      <c r="G51" s="2" t="s">
        <v>66</v>
      </c>
      <c r="H51" s="2" t="s">
        <v>141</v>
      </c>
      <c r="I51" s="2" t="str">
        <f aca="false">IF(EXACT(B51,D51),"No","Yes")</f>
        <v>No</v>
      </c>
    </row>
    <row r="52" customFormat="false" ht="15" hidden="false" customHeight="false" outlineLevel="0" collapsed="false">
      <c r="A52" s="2" t="n">
        <v>17</v>
      </c>
      <c r="B52" s="2" t="s">
        <v>139</v>
      </c>
      <c r="C52" s="2" t="s">
        <v>422</v>
      </c>
      <c r="D52" s="2" t="s">
        <v>139</v>
      </c>
      <c r="E52" s="2" t="s">
        <v>71</v>
      </c>
      <c r="F52" s="2" t="s">
        <v>73</v>
      </c>
      <c r="G52" s="2" t="s">
        <v>74</v>
      </c>
      <c r="H52" s="2" t="s">
        <v>142</v>
      </c>
      <c r="I52" s="2" t="str">
        <f aca="false">IF(EXACT(B52,D52),"No","Yes")</f>
        <v>No</v>
      </c>
    </row>
    <row r="53" customFormat="false" ht="15" hidden="false" customHeight="false" outlineLevel="0" collapsed="false">
      <c r="A53" s="2" t="n">
        <v>18</v>
      </c>
      <c r="B53" s="2" t="s">
        <v>143</v>
      </c>
      <c r="C53" s="2" t="s">
        <v>420</v>
      </c>
      <c r="D53" s="2" t="s">
        <v>144</v>
      </c>
      <c r="E53" s="2" t="s">
        <v>56</v>
      </c>
      <c r="F53" s="2" t="s">
        <v>114</v>
      </c>
      <c r="G53" s="2" t="s">
        <v>59</v>
      </c>
      <c r="H53" s="2" t="s">
        <v>146</v>
      </c>
      <c r="I53" s="2" t="str">
        <f aca="false">IF(EXACT(B53,D53),"No","Yes")</f>
        <v>Yes</v>
      </c>
    </row>
    <row r="54" customFormat="false" ht="15" hidden="false" customHeight="false" outlineLevel="0" collapsed="false">
      <c r="A54" s="2" t="n">
        <v>18</v>
      </c>
      <c r="B54" s="2" t="s">
        <v>143</v>
      </c>
      <c r="C54" s="2" t="s">
        <v>421</v>
      </c>
      <c r="D54" s="2" t="s">
        <v>144</v>
      </c>
      <c r="E54" s="2" t="s">
        <v>56</v>
      </c>
      <c r="F54" s="2" t="s">
        <v>114</v>
      </c>
      <c r="G54" s="2" t="s">
        <v>145</v>
      </c>
      <c r="H54" s="2" t="s">
        <v>147</v>
      </c>
      <c r="I54" s="2" t="str">
        <f aca="false">IF(EXACT(B54,D54),"No","Yes")</f>
        <v>Yes</v>
      </c>
    </row>
    <row r="55" customFormat="false" ht="15" hidden="false" customHeight="false" outlineLevel="0" collapsed="false">
      <c r="A55" s="2" t="n">
        <v>18</v>
      </c>
      <c r="B55" s="2" t="s">
        <v>143</v>
      </c>
      <c r="C55" s="2" t="s">
        <v>422</v>
      </c>
      <c r="D55" s="2" t="s">
        <v>144</v>
      </c>
      <c r="E55" s="2" t="s">
        <v>56</v>
      </c>
      <c r="F55" s="2" t="s">
        <v>58</v>
      </c>
      <c r="G55" s="2" t="s">
        <v>90</v>
      </c>
      <c r="H55" s="2" t="s">
        <v>148</v>
      </c>
      <c r="I55" s="2" t="str">
        <f aca="false">IF(EXACT(B55,D55),"No","Yes")</f>
        <v>Yes</v>
      </c>
    </row>
    <row r="56" customFormat="false" ht="15" hidden="false" customHeight="false" outlineLevel="0" collapsed="false">
      <c r="A56" s="2" t="n">
        <v>19</v>
      </c>
      <c r="B56" s="2" t="s">
        <v>149</v>
      </c>
      <c r="C56" s="2" t="s">
        <v>420</v>
      </c>
      <c r="D56" s="2" t="s">
        <v>149</v>
      </c>
      <c r="E56" s="2" t="s">
        <v>71</v>
      </c>
      <c r="F56" s="2" t="s">
        <v>88</v>
      </c>
      <c r="G56" s="2" t="s">
        <v>89</v>
      </c>
      <c r="H56" s="2" t="s">
        <v>91</v>
      </c>
      <c r="I56" s="2" t="str">
        <f aca="false">IF(EXACT(B56,D56),"No","Yes")</f>
        <v>No</v>
      </c>
    </row>
    <row r="57" customFormat="false" ht="15" hidden="false" customHeight="false" outlineLevel="0" collapsed="false">
      <c r="A57" s="2" t="n">
        <v>19</v>
      </c>
      <c r="B57" s="2" t="s">
        <v>149</v>
      </c>
      <c r="C57" s="2" t="s">
        <v>421</v>
      </c>
      <c r="D57" s="2" t="s">
        <v>149</v>
      </c>
      <c r="E57" s="2" t="s">
        <v>80</v>
      </c>
      <c r="F57" s="2" t="s">
        <v>88</v>
      </c>
      <c r="G57" s="2" t="s">
        <v>90</v>
      </c>
      <c r="H57" s="2" t="s">
        <v>91</v>
      </c>
      <c r="I57" s="2" t="str">
        <f aca="false">IF(EXACT(B57,D57),"No","Yes")</f>
        <v>No</v>
      </c>
    </row>
    <row r="58" customFormat="false" ht="15" hidden="false" customHeight="false" outlineLevel="0" collapsed="false">
      <c r="A58" s="2" t="n">
        <v>19</v>
      </c>
      <c r="B58" s="2" t="s">
        <v>149</v>
      </c>
      <c r="C58" s="2" t="s">
        <v>422</v>
      </c>
      <c r="D58" s="2" t="s">
        <v>149</v>
      </c>
      <c r="E58" s="2" t="s">
        <v>71</v>
      </c>
      <c r="F58" s="2" t="s">
        <v>150</v>
      </c>
      <c r="G58" s="2" t="s">
        <v>151</v>
      </c>
      <c r="H58" s="2" t="s">
        <v>152</v>
      </c>
      <c r="I58" s="2" t="str">
        <f aca="false">IF(EXACT(B58,D58),"No","Yes")</f>
        <v>No</v>
      </c>
    </row>
    <row r="59" customFormat="false" ht="15" hidden="false" customHeight="false" outlineLevel="0" collapsed="false">
      <c r="A59" s="2" t="n">
        <v>20</v>
      </c>
      <c r="B59" s="2" t="s">
        <v>153</v>
      </c>
      <c r="C59" s="2" t="s">
        <v>420</v>
      </c>
      <c r="D59" s="2" t="s">
        <v>153</v>
      </c>
      <c r="E59" s="2" t="s">
        <v>57</v>
      </c>
      <c r="F59" s="2" t="s">
        <v>58</v>
      </c>
      <c r="G59" s="2" t="s">
        <v>66</v>
      </c>
      <c r="H59" s="2" t="s">
        <v>154</v>
      </c>
      <c r="I59" s="2" t="str">
        <f aca="false">IF(EXACT(B59,D59),"No","Yes")</f>
        <v>No</v>
      </c>
    </row>
    <row r="60" customFormat="false" ht="15" hidden="false" customHeight="false" outlineLevel="0" collapsed="false">
      <c r="A60" s="2" t="n">
        <v>20</v>
      </c>
      <c r="B60" s="2" t="s">
        <v>153</v>
      </c>
      <c r="C60" s="2" t="s">
        <v>421</v>
      </c>
      <c r="D60" s="2" t="s">
        <v>153</v>
      </c>
      <c r="E60" s="2" t="s">
        <v>80</v>
      </c>
      <c r="F60" s="2" t="s">
        <v>58</v>
      </c>
      <c r="G60" s="2" t="s">
        <v>66</v>
      </c>
      <c r="H60" s="2" t="s">
        <v>155</v>
      </c>
      <c r="I60" s="2" t="str">
        <f aca="false">IF(EXACT(B60,D60),"No","Yes")</f>
        <v>No</v>
      </c>
    </row>
    <row r="61" customFormat="false" ht="15" hidden="false" customHeight="false" outlineLevel="0" collapsed="false">
      <c r="A61" s="2" t="n">
        <v>20</v>
      </c>
      <c r="B61" s="2" t="s">
        <v>153</v>
      </c>
      <c r="C61" s="2" t="s">
        <v>422</v>
      </c>
      <c r="D61" s="2" t="s">
        <v>153</v>
      </c>
      <c r="E61" s="2" t="s">
        <v>57</v>
      </c>
      <c r="F61" s="2" t="s">
        <v>73</v>
      </c>
      <c r="G61" s="2" t="s">
        <v>75</v>
      </c>
      <c r="H61" s="2" t="s">
        <v>156</v>
      </c>
      <c r="I61" s="2" t="str">
        <f aca="false">IF(EXACT(B61,D61),"No","Yes")</f>
        <v>No</v>
      </c>
    </row>
    <row r="62" customFormat="false" ht="15" hidden="false" customHeight="false" outlineLevel="0" collapsed="false">
      <c r="A62" s="2" t="n">
        <v>21</v>
      </c>
      <c r="B62" s="2" t="s">
        <v>157</v>
      </c>
      <c r="C62" s="2" t="s">
        <v>420</v>
      </c>
      <c r="D62" s="2" t="s">
        <v>157</v>
      </c>
      <c r="E62" s="2" t="s">
        <v>57</v>
      </c>
      <c r="F62" s="2" t="s">
        <v>58</v>
      </c>
      <c r="G62" s="2" t="s">
        <v>61</v>
      </c>
      <c r="H62" s="2" t="s">
        <v>158</v>
      </c>
      <c r="I62" s="2" t="str">
        <f aca="false">IF(EXACT(B62,D62),"No","Yes")</f>
        <v>No</v>
      </c>
    </row>
    <row r="63" customFormat="false" ht="15" hidden="false" customHeight="false" outlineLevel="0" collapsed="false">
      <c r="A63" s="2" t="n">
        <v>21</v>
      </c>
      <c r="B63" s="2" t="s">
        <v>157</v>
      </c>
      <c r="C63" s="2" t="s">
        <v>421</v>
      </c>
      <c r="D63" s="2" t="s">
        <v>157</v>
      </c>
      <c r="E63" s="2" t="s">
        <v>57</v>
      </c>
      <c r="F63" s="2" t="s">
        <v>58</v>
      </c>
      <c r="G63" s="2" t="s">
        <v>66</v>
      </c>
      <c r="H63" s="2" t="s">
        <v>159</v>
      </c>
      <c r="I63" s="2" t="str">
        <f aca="false">IF(EXACT(B63,D63),"No","Yes")</f>
        <v>No</v>
      </c>
    </row>
    <row r="64" customFormat="false" ht="15" hidden="false" customHeight="false" outlineLevel="0" collapsed="false">
      <c r="A64" s="2" t="n">
        <v>21</v>
      </c>
      <c r="B64" s="2" t="s">
        <v>157</v>
      </c>
      <c r="C64" s="2" t="s">
        <v>422</v>
      </c>
      <c r="D64" s="2" t="s">
        <v>157</v>
      </c>
      <c r="E64" s="2" t="s">
        <v>71</v>
      </c>
      <c r="F64" s="2" t="s">
        <v>72</v>
      </c>
      <c r="G64" s="2" t="s">
        <v>61</v>
      </c>
      <c r="H64" s="2" t="s">
        <v>160</v>
      </c>
      <c r="I64" s="2" t="str">
        <f aca="false">IF(EXACT(B64,D64),"No","Yes")</f>
        <v>No</v>
      </c>
    </row>
    <row r="65" customFormat="false" ht="15" hidden="false" customHeight="false" outlineLevel="0" collapsed="false">
      <c r="A65" s="2" t="n">
        <v>22</v>
      </c>
      <c r="B65" s="2" t="s">
        <v>161</v>
      </c>
      <c r="C65" s="2" t="s">
        <v>420</v>
      </c>
      <c r="D65" s="2" t="s">
        <v>161</v>
      </c>
      <c r="E65" s="2" t="s">
        <v>71</v>
      </c>
      <c r="F65" s="2" t="s">
        <v>88</v>
      </c>
      <c r="G65" s="2" t="s">
        <v>89</v>
      </c>
      <c r="H65" s="2" t="s">
        <v>162</v>
      </c>
      <c r="I65" s="2" t="str">
        <f aca="false">IF(EXACT(B65,D65),"No","Yes")</f>
        <v>No</v>
      </c>
    </row>
    <row r="66" customFormat="false" ht="15" hidden="false" customHeight="false" outlineLevel="0" collapsed="false">
      <c r="A66" s="2" t="n">
        <v>22</v>
      </c>
      <c r="B66" s="2" t="s">
        <v>161</v>
      </c>
      <c r="C66" s="2" t="s">
        <v>421</v>
      </c>
      <c r="D66" s="2" t="s">
        <v>161</v>
      </c>
      <c r="E66" s="2" t="s">
        <v>80</v>
      </c>
      <c r="F66" s="2" t="s">
        <v>58</v>
      </c>
      <c r="G66" s="2" t="s">
        <v>90</v>
      </c>
      <c r="H66" s="2" t="s">
        <v>163</v>
      </c>
      <c r="I66" s="2" t="str">
        <f aca="false">IF(EXACT(B66,D66),"No","Yes")</f>
        <v>No</v>
      </c>
    </row>
    <row r="67" customFormat="false" ht="15" hidden="false" customHeight="false" outlineLevel="0" collapsed="false">
      <c r="A67" s="2" t="n">
        <v>22</v>
      </c>
      <c r="B67" s="2" t="s">
        <v>161</v>
      </c>
      <c r="C67" s="2" t="s">
        <v>422</v>
      </c>
      <c r="D67" s="2" t="s">
        <v>161</v>
      </c>
      <c r="E67" s="2" t="s">
        <v>71</v>
      </c>
      <c r="F67" s="2" t="s">
        <v>114</v>
      </c>
      <c r="G67" s="2" t="s">
        <v>66</v>
      </c>
      <c r="H67" s="2" t="s">
        <v>164</v>
      </c>
      <c r="I67" s="2" t="str">
        <f aca="false">IF(EXACT(B67,D67),"No","Yes")</f>
        <v>No</v>
      </c>
    </row>
    <row r="68" customFormat="false" ht="15" hidden="false" customHeight="false" outlineLevel="0" collapsed="false">
      <c r="A68" s="2" t="n">
        <v>23</v>
      </c>
      <c r="B68" s="2" t="s">
        <v>165</v>
      </c>
      <c r="C68" s="2" t="s">
        <v>420</v>
      </c>
      <c r="D68" s="2" t="s">
        <v>165</v>
      </c>
      <c r="E68" s="2" t="s">
        <v>57</v>
      </c>
      <c r="F68" s="2" t="s">
        <v>58</v>
      </c>
      <c r="G68" s="2" t="s">
        <v>66</v>
      </c>
      <c r="H68" s="2" t="s">
        <v>166</v>
      </c>
      <c r="I68" s="2" t="str">
        <f aca="false">IF(EXACT(B68,D68),"No","Yes")</f>
        <v>No</v>
      </c>
    </row>
    <row r="69" customFormat="false" ht="15" hidden="false" customHeight="false" outlineLevel="0" collapsed="false">
      <c r="A69" s="2" t="n">
        <v>23</v>
      </c>
      <c r="B69" s="2" t="s">
        <v>165</v>
      </c>
      <c r="C69" s="2" t="s">
        <v>421</v>
      </c>
      <c r="D69" s="2" t="s">
        <v>165</v>
      </c>
      <c r="E69" s="2" t="s">
        <v>57</v>
      </c>
      <c r="F69" s="2" t="s">
        <v>58</v>
      </c>
      <c r="G69" s="2" t="s">
        <v>61</v>
      </c>
      <c r="H69" s="2" t="s">
        <v>167</v>
      </c>
      <c r="I69" s="2" t="str">
        <f aca="false">IF(EXACT(B69,D69),"No","Yes")</f>
        <v>No</v>
      </c>
    </row>
    <row r="70" customFormat="false" ht="15" hidden="false" customHeight="false" outlineLevel="0" collapsed="false">
      <c r="A70" s="2" t="n">
        <v>23</v>
      </c>
      <c r="B70" s="2" t="s">
        <v>165</v>
      </c>
      <c r="C70" s="2" t="s">
        <v>422</v>
      </c>
      <c r="D70" s="2" t="s">
        <v>165</v>
      </c>
      <c r="E70" s="2" t="s">
        <v>57</v>
      </c>
      <c r="F70" s="2" t="s">
        <v>58</v>
      </c>
      <c r="G70" s="2" t="s">
        <v>61</v>
      </c>
      <c r="H70" s="2" t="s">
        <v>168</v>
      </c>
      <c r="I70" s="2" t="str">
        <f aca="false">IF(EXACT(B70,D70),"No","Yes")</f>
        <v>No</v>
      </c>
    </row>
    <row r="71" customFormat="false" ht="15" hidden="false" customHeight="false" outlineLevel="0" collapsed="false">
      <c r="A71" s="2" t="n">
        <v>24</v>
      </c>
      <c r="B71" s="2" t="s">
        <v>169</v>
      </c>
      <c r="C71" s="2" t="s">
        <v>420</v>
      </c>
      <c r="D71" s="2" t="s">
        <v>169</v>
      </c>
      <c r="E71" s="2" t="s">
        <v>57</v>
      </c>
      <c r="F71" s="2" t="s">
        <v>150</v>
      </c>
      <c r="G71" s="2" t="s">
        <v>151</v>
      </c>
      <c r="H71" s="2" t="s">
        <v>170</v>
      </c>
      <c r="I71" s="2" t="str">
        <f aca="false">IF(EXACT(B71,D71),"No","Yes")</f>
        <v>No</v>
      </c>
    </row>
    <row r="72" customFormat="false" ht="15" hidden="false" customHeight="false" outlineLevel="0" collapsed="false">
      <c r="A72" s="2" t="n">
        <v>24</v>
      </c>
      <c r="B72" s="2" t="s">
        <v>169</v>
      </c>
      <c r="C72" s="2" t="s">
        <v>421</v>
      </c>
      <c r="D72" s="2" t="s">
        <v>169</v>
      </c>
      <c r="E72" s="2" t="s">
        <v>57</v>
      </c>
      <c r="F72" s="2" t="s">
        <v>150</v>
      </c>
      <c r="G72" s="2" t="s">
        <v>60</v>
      </c>
      <c r="H72" s="2" t="s">
        <v>171</v>
      </c>
      <c r="I72" s="2" t="str">
        <f aca="false">IF(EXACT(B72,D72),"No","Yes")</f>
        <v>No</v>
      </c>
    </row>
    <row r="73" customFormat="false" ht="15" hidden="false" customHeight="false" outlineLevel="0" collapsed="false">
      <c r="A73" s="2" t="n">
        <v>24</v>
      </c>
      <c r="B73" s="2" t="s">
        <v>169</v>
      </c>
      <c r="C73" s="2" t="s">
        <v>422</v>
      </c>
      <c r="D73" s="2" t="s">
        <v>169</v>
      </c>
      <c r="E73" s="2" t="s">
        <v>71</v>
      </c>
      <c r="F73" s="2" t="s">
        <v>58</v>
      </c>
      <c r="G73" s="2" t="s">
        <v>61</v>
      </c>
      <c r="H73" s="2" t="s">
        <v>172</v>
      </c>
      <c r="I73" s="2" t="str">
        <f aca="false">IF(EXACT(B73,D73),"No","Yes")</f>
        <v>No</v>
      </c>
    </row>
    <row r="74" customFormat="false" ht="15" hidden="false" customHeight="false" outlineLevel="0" collapsed="false">
      <c r="A74" s="2" t="n">
        <v>25</v>
      </c>
      <c r="B74" s="2" t="s">
        <v>173</v>
      </c>
      <c r="C74" s="2" t="s">
        <v>420</v>
      </c>
      <c r="D74" s="2" t="s">
        <v>173</v>
      </c>
      <c r="E74" s="2" t="s">
        <v>57</v>
      </c>
      <c r="F74" s="2" t="s">
        <v>72</v>
      </c>
      <c r="G74" s="2" t="s">
        <v>74</v>
      </c>
      <c r="H74" s="2" t="s">
        <v>174</v>
      </c>
      <c r="I74" s="2" t="str">
        <f aca="false">IF(EXACT(B74,D74),"No","Yes")</f>
        <v>No</v>
      </c>
    </row>
    <row r="75" customFormat="false" ht="15" hidden="false" customHeight="false" outlineLevel="0" collapsed="false">
      <c r="A75" s="2" t="n">
        <v>25</v>
      </c>
      <c r="B75" s="2" t="s">
        <v>173</v>
      </c>
      <c r="C75" s="2" t="s">
        <v>421</v>
      </c>
      <c r="D75" s="2" t="s">
        <v>173</v>
      </c>
      <c r="E75" s="2" t="s">
        <v>80</v>
      </c>
      <c r="F75" s="2" t="s">
        <v>88</v>
      </c>
      <c r="G75" s="2" t="s">
        <v>90</v>
      </c>
      <c r="H75" s="2" t="s">
        <v>175</v>
      </c>
      <c r="I75" s="2" t="str">
        <f aca="false">IF(EXACT(B75,D75),"No","Yes")</f>
        <v>No</v>
      </c>
    </row>
    <row r="76" customFormat="false" ht="15" hidden="false" customHeight="false" outlineLevel="0" collapsed="false">
      <c r="A76" s="2" t="n">
        <v>25</v>
      </c>
      <c r="B76" s="2" t="s">
        <v>173</v>
      </c>
      <c r="C76" s="2" t="s">
        <v>422</v>
      </c>
      <c r="D76" s="2" t="s">
        <v>173</v>
      </c>
      <c r="E76" s="2" t="s">
        <v>71</v>
      </c>
      <c r="F76" s="2" t="s">
        <v>88</v>
      </c>
      <c r="G76" s="2" t="s">
        <v>89</v>
      </c>
      <c r="H76" s="2" t="s">
        <v>91</v>
      </c>
      <c r="I76" s="2" t="str">
        <f aca="false">IF(EXACT(B76,D76),"No","Yes")</f>
        <v>No</v>
      </c>
    </row>
    <row r="77" customFormat="false" ht="15" hidden="false" customHeight="false" outlineLevel="0" collapsed="false">
      <c r="A77" s="2" t="n">
        <v>26</v>
      </c>
      <c r="B77" s="2" t="s">
        <v>176</v>
      </c>
      <c r="C77" s="2" t="s">
        <v>420</v>
      </c>
      <c r="D77" s="2" t="s">
        <v>177</v>
      </c>
      <c r="E77" s="2" t="s">
        <v>56</v>
      </c>
      <c r="F77" s="2" t="s">
        <v>114</v>
      </c>
      <c r="G77" s="2" t="s">
        <v>59</v>
      </c>
      <c r="H77" s="2" t="s">
        <v>178</v>
      </c>
      <c r="I77" s="2" t="str">
        <f aca="false">IF(EXACT(B77,D77),"No","Yes")</f>
        <v>Yes</v>
      </c>
    </row>
    <row r="78" customFormat="false" ht="15" hidden="false" customHeight="false" outlineLevel="0" collapsed="false">
      <c r="A78" s="2" t="n">
        <v>26</v>
      </c>
      <c r="B78" s="2" t="s">
        <v>176</v>
      </c>
      <c r="C78" s="2" t="s">
        <v>421</v>
      </c>
      <c r="D78" s="2" t="s">
        <v>177</v>
      </c>
      <c r="E78" s="2" t="s">
        <v>56</v>
      </c>
      <c r="F78" s="2" t="s">
        <v>58</v>
      </c>
      <c r="G78" s="2" t="s">
        <v>59</v>
      </c>
      <c r="H78" s="2" t="s">
        <v>179</v>
      </c>
      <c r="I78" s="2" t="str">
        <f aca="false">IF(EXACT(B78,D78),"No","Yes")</f>
        <v>Yes</v>
      </c>
    </row>
    <row r="79" customFormat="false" ht="15" hidden="false" customHeight="false" outlineLevel="0" collapsed="false">
      <c r="A79" s="2" t="n">
        <v>26</v>
      </c>
      <c r="B79" s="2" t="s">
        <v>176</v>
      </c>
      <c r="C79" s="2" t="s">
        <v>422</v>
      </c>
      <c r="D79" s="2" t="s">
        <v>176</v>
      </c>
      <c r="E79" s="2" t="s">
        <v>57</v>
      </c>
      <c r="F79" s="2" t="s">
        <v>72</v>
      </c>
      <c r="G79" s="2" t="s">
        <v>74</v>
      </c>
      <c r="H79" s="2" t="s">
        <v>180</v>
      </c>
      <c r="I79" s="2" t="str">
        <f aca="false">IF(EXACT(B79,D79),"No","Yes")</f>
        <v>No</v>
      </c>
    </row>
    <row r="80" customFormat="false" ht="15" hidden="false" customHeight="false" outlineLevel="0" collapsed="false">
      <c r="A80" s="2" t="n">
        <v>27</v>
      </c>
      <c r="B80" s="2" t="s">
        <v>181</v>
      </c>
      <c r="C80" s="2" t="s">
        <v>420</v>
      </c>
      <c r="D80" s="2" t="s">
        <v>182</v>
      </c>
      <c r="E80" s="2" t="s">
        <v>56</v>
      </c>
      <c r="F80" s="2" t="s">
        <v>114</v>
      </c>
      <c r="G80" s="2" t="s">
        <v>59</v>
      </c>
      <c r="H80" s="2" t="s">
        <v>184</v>
      </c>
      <c r="I80" s="2" t="str">
        <f aca="false">IF(EXACT(B80,D80),"No","Yes")</f>
        <v>Yes</v>
      </c>
    </row>
    <row r="81" customFormat="false" ht="15" hidden="false" customHeight="false" outlineLevel="0" collapsed="false">
      <c r="A81" s="2" t="n">
        <v>27</v>
      </c>
      <c r="B81" s="2" t="s">
        <v>181</v>
      </c>
      <c r="C81" s="2" t="s">
        <v>421</v>
      </c>
      <c r="D81" s="2" t="s">
        <v>181</v>
      </c>
      <c r="E81" s="2" t="s">
        <v>57</v>
      </c>
      <c r="F81" s="2" t="s">
        <v>88</v>
      </c>
      <c r="G81" s="2" t="s">
        <v>60</v>
      </c>
      <c r="H81" s="2" t="s">
        <v>91</v>
      </c>
      <c r="I81" s="2" t="str">
        <f aca="false">IF(EXACT(B81,D81),"No","Yes")</f>
        <v>No</v>
      </c>
    </row>
    <row r="82" customFormat="false" ht="15" hidden="false" customHeight="false" outlineLevel="0" collapsed="false">
      <c r="A82" s="2" t="n">
        <v>27</v>
      </c>
      <c r="B82" s="2" t="s">
        <v>181</v>
      </c>
      <c r="C82" s="2" t="s">
        <v>422</v>
      </c>
      <c r="D82" s="2" t="s">
        <v>183</v>
      </c>
      <c r="E82" s="2" t="s">
        <v>56</v>
      </c>
      <c r="F82" s="2" t="s">
        <v>58</v>
      </c>
      <c r="G82" s="2" t="s">
        <v>120</v>
      </c>
      <c r="H82" s="2" t="s">
        <v>185</v>
      </c>
      <c r="I82" s="2" t="str">
        <f aca="false">IF(EXACT(B82,D82),"No","Yes")</f>
        <v>Yes</v>
      </c>
    </row>
    <row r="83" customFormat="false" ht="15" hidden="false" customHeight="false" outlineLevel="0" collapsed="false">
      <c r="A83" s="2" t="n">
        <v>28</v>
      </c>
      <c r="B83" s="2" t="s">
        <v>186</v>
      </c>
      <c r="C83" s="2" t="s">
        <v>420</v>
      </c>
      <c r="D83" s="2" t="s">
        <v>186</v>
      </c>
      <c r="E83" s="2" t="s">
        <v>57</v>
      </c>
      <c r="F83" s="2" t="s">
        <v>114</v>
      </c>
      <c r="G83" s="2" t="s">
        <v>66</v>
      </c>
      <c r="H83" s="2" t="s">
        <v>187</v>
      </c>
      <c r="I83" s="2" t="str">
        <f aca="false">IF(EXACT(B83,D83),"No","Yes")</f>
        <v>No</v>
      </c>
    </row>
    <row r="84" customFormat="false" ht="15" hidden="false" customHeight="false" outlineLevel="0" collapsed="false">
      <c r="A84" s="2" t="n">
        <v>28</v>
      </c>
      <c r="B84" s="2" t="s">
        <v>186</v>
      </c>
      <c r="C84" s="2" t="s">
        <v>421</v>
      </c>
      <c r="D84" s="2" t="s">
        <v>186</v>
      </c>
      <c r="E84" s="2" t="s">
        <v>57</v>
      </c>
      <c r="F84" s="2" t="s">
        <v>58</v>
      </c>
      <c r="G84" s="2" t="s">
        <v>66</v>
      </c>
      <c r="H84" s="2" t="s">
        <v>179</v>
      </c>
      <c r="I84" s="2" t="str">
        <f aca="false">IF(EXACT(B84,D84),"No","Yes")</f>
        <v>No</v>
      </c>
    </row>
    <row r="85" customFormat="false" ht="15" hidden="false" customHeight="false" outlineLevel="0" collapsed="false">
      <c r="A85" s="2" t="n">
        <v>28</v>
      </c>
      <c r="B85" s="2" t="s">
        <v>186</v>
      </c>
      <c r="C85" s="2" t="s">
        <v>422</v>
      </c>
      <c r="D85" s="2" t="s">
        <v>186</v>
      </c>
      <c r="E85" s="2" t="s">
        <v>71</v>
      </c>
      <c r="F85" s="2" t="s">
        <v>114</v>
      </c>
      <c r="G85" s="2" t="s">
        <v>66</v>
      </c>
      <c r="H85" s="2" t="s">
        <v>179</v>
      </c>
      <c r="I85" s="2" t="str">
        <f aca="false">IF(EXACT(B85,D85),"No","Yes")</f>
        <v>No</v>
      </c>
    </row>
    <row r="86" customFormat="false" ht="15" hidden="false" customHeight="false" outlineLevel="0" collapsed="false">
      <c r="A86" s="2" t="n">
        <v>29</v>
      </c>
      <c r="B86" s="2" t="s">
        <v>188</v>
      </c>
      <c r="C86" s="2" t="s">
        <v>420</v>
      </c>
      <c r="D86" s="2" t="s">
        <v>189</v>
      </c>
      <c r="E86" s="2" t="s">
        <v>56</v>
      </c>
      <c r="F86" s="2" t="s">
        <v>58</v>
      </c>
      <c r="G86" s="2" t="s">
        <v>59</v>
      </c>
      <c r="H86" s="2" t="s">
        <v>190</v>
      </c>
      <c r="I86" s="2" t="str">
        <f aca="false">IF(EXACT(B86,D86),"No","Yes")</f>
        <v>Yes</v>
      </c>
    </row>
    <row r="87" customFormat="false" ht="15" hidden="false" customHeight="false" outlineLevel="0" collapsed="false">
      <c r="A87" s="2" t="n">
        <v>29</v>
      </c>
      <c r="B87" s="2" t="s">
        <v>188</v>
      </c>
      <c r="C87" s="2" t="s">
        <v>421</v>
      </c>
      <c r="D87" s="2" t="s">
        <v>189</v>
      </c>
      <c r="E87" s="2" t="s">
        <v>56</v>
      </c>
      <c r="F87" s="2" t="s">
        <v>58</v>
      </c>
      <c r="G87" s="2" t="s">
        <v>81</v>
      </c>
      <c r="H87" s="2" t="s">
        <v>191</v>
      </c>
      <c r="I87" s="2" t="str">
        <f aca="false">IF(EXACT(B87,D87),"No","Yes")</f>
        <v>Yes</v>
      </c>
    </row>
    <row r="88" customFormat="false" ht="15" hidden="false" customHeight="false" outlineLevel="0" collapsed="false">
      <c r="A88" s="2" t="n">
        <v>29</v>
      </c>
      <c r="B88" s="2" t="s">
        <v>188</v>
      </c>
      <c r="C88" s="2" t="s">
        <v>422</v>
      </c>
      <c r="D88" s="2" t="s">
        <v>188</v>
      </c>
      <c r="E88" s="2" t="s">
        <v>57</v>
      </c>
      <c r="F88" s="2" t="s">
        <v>58</v>
      </c>
      <c r="G88" s="2" t="s">
        <v>61</v>
      </c>
      <c r="H88" s="2" t="s">
        <v>192</v>
      </c>
      <c r="I88" s="2" t="str">
        <f aca="false">IF(EXACT(B88,D88),"No","Yes")</f>
        <v>No</v>
      </c>
    </row>
    <row r="89" customFormat="false" ht="15" hidden="false" customHeight="false" outlineLevel="0" collapsed="false">
      <c r="A89" s="2" t="n">
        <v>30</v>
      </c>
      <c r="B89" s="2" t="s">
        <v>193</v>
      </c>
      <c r="C89" s="2" t="s">
        <v>420</v>
      </c>
      <c r="D89" s="2" t="s">
        <v>193</v>
      </c>
      <c r="E89" s="2" t="s">
        <v>57</v>
      </c>
      <c r="F89" s="2" t="s">
        <v>58</v>
      </c>
      <c r="G89" s="2" t="s">
        <v>61</v>
      </c>
      <c r="H89" s="2" t="s">
        <v>194</v>
      </c>
      <c r="I89" s="2" t="str">
        <f aca="false">IF(EXACT(B89,D89),"No","Yes")</f>
        <v>No</v>
      </c>
    </row>
    <row r="90" customFormat="false" ht="15" hidden="false" customHeight="false" outlineLevel="0" collapsed="false">
      <c r="A90" s="2" t="n">
        <v>30</v>
      </c>
      <c r="B90" s="2" t="s">
        <v>193</v>
      </c>
      <c r="C90" s="2" t="s">
        <v>421</v>
      </c>
      <c r="D90" s="2" t="s">
        <v>193</v>
      </c>
      <c r="E90" s="2" t="s">
        <v>57</v>
      </c>
      <c r="F90" s="2" t="s">
        <v>58</v>
      </c>
      <c r="G90" s="2" t="s">
        <v>60</v>
      </c>
      <c r="H90" s="2" t="s">
        <v>195</v>
      </c>
      <c r="I90" s="2" t="str">
        <f aca="false">IF(EXACT(B90,D90),"No","Yes")</f>
        <v>No</v>
      </c>
    </row>
    <row r="91" customFormat="false" ht="15" hidden="false" customHeight="false" outlineLevel="0" collapsed="false">
      <c r="A91" s="2" t="n">
        <v>30</v>
      </c>
      <c r="B91" s="2" t="s">
        <v>193</v>
      </c>
      <c r="C91" s="2" t="s">
        <v>422</v>
      </c>
      <c r="D91" s="2" t="s">
        <v>193</v>
      </c>
      <c r="E91" s="2" t="s">
        <v>71</v>
      </c>
      <c r="F91" s="2" t="s">
        <v>114</v>
      </c>
      <c r="G91" s="2" t="s">
        <v>66</v>
      </c>
      <c r="H91" s="2" t="s">
        <v>196</v>
      </c>
      <c r="I91" s="2" t="str">
        <f aca="false">IF(EXACT(B91,D91),"No","Yes")</f>
        <v>No</v>
      </c>
    </row>
    <row r="92" customFormat="false" ht="15" hidden="false" customHeight="false" outlineLevel="0" collapsed="false">
      <c r="A92" s="2" t="n">
        <v>31</v>
      </c>
      <c r="B92" s="2" t="s">
        <v>197</v>
      </c>
      <c r="C92" s="2" t="s">
        <v>420</v>
      </c>
      <c r="D92" s="2" t="s">
        <v>198</v>
      </c>
      <c r="E92" s="2" t="s">
        <v>56</v>
      </c>
      <c r="F92" s="2" t="s">
        <v>58</v>
      </c>
      <c r="G92" s="2" t="s">
        <v>59</v>
      </c>
      <c r="H92" s="2" t="s">
        <v>199</v>
      </c>
      <c r="I92" s="2" t="str">
        <f aca="false">IF(EXACT(B92,D92),"No","Yes")</f>
        <v>Yes</v>
      </c>
    </row>
    <row r="93" customFormat="false" ht="15" hidden="false" customHeight="false" outlineLevel="0" collapsed="false">
      <c r="A93" s="2" t="n">
        <v>31</v>
      </c>
      <c r="B93" s="2" t="s">
        <v>197</v>
      </c>
      <c r="C93" s="2" t="s">
        <v>421</v>
      </c>
      <c r="D93" s="2" t="s">
        <v>197</v>
      </c>
      <c r="E93" s="2" t="s">
        <v>57</v>
      </c>
      <c r="F93" s="2" t="s">
        <v>58</v>
      </c>
      <c r="G93" s="2" t="s">
        <v>66</v>
      </c>
      <c r="H93" s="2" t="s">
        <v>200</v>
      </c>
      <c r="I93" s="2" t="str">
        <f aca="false">IF(EXACT(B93,D93),"No","Yes")</f>
        <v>No</v>
      </c>
    </row>
    <row r="94" customFormat="false" ht="15" hidden="false" customHeight="false" outlineLevel="0" collapsed="false">
      <c r="A94" s="2" t="n">
        <v>31</v>
      </c>
      <c r="B94" s="2" t="s">
        <v>197</v>
      </c>
      <c r="C94" s="2" t="s">
        <v>422</v>
      </c>
      <c r="D94" s="2" t="s">
        <v>198</v>
      </c>
      <c r="E94" s="2" t="s">
        <v>56</v>
      </c>
      <c r="F94" s="2" t="s">
        <v>58</v>
      </c>
      <c r="G94" s="2" t="s">
        <v>61</v>
      </c>
      <c r="H94" s="2" t="s">
        <v>201</v>
      </c>
      <c r="I94" s="2" t="str">
        <f aca="false">IF(EXACT(B94,D94),"No","Yes")</f>
        <v>Yes</v>
      </c>
    </row>
    <row r="95" customFormat="false" ht="15" hidden="false" customHeight="false" outlineLevel="0" collapsed="false">
      <c r="A95" s="2" t="n">
        <v>32</v>
      </c>
      <c r="B95" s="2" t="s">
        <v>202</v>
      </c>
      <c r="C95" s="2" t="s">
        <v>420</v>
      </c>
      <c r="D95" s="2" t="s">
        <v>202</v>
      </c>
      <c r="E95" s="2" t="s">
        <v>57</v>
      </c>
      <c r="F95" s="2" t="s">
        <v>72</v>
      </c>
      <c r="G95" s="2" t="s">
        <v>74</v>
      </c>
      <c r="H95" s="2" t="s">
        <v>203</v>
      </c>
      <c r="I95" s="2" t="str">
        <f aca="false">IF(EXACT(B95,D95),"No","Yes")</f>
        <v>No</v>
      </c>
    </row>
    <row r="96" customFormat="false" ht="15" hidden="false" customHeight="false" outlineLevel="0" collapsed="false">
      <c r="A96" s="2" t="n">
        <v>32</v>
      </c>
      <c r="B96" s="2" t="s">
        <v>202</v>
      </c>
      <c r="C96" s="2" t="s">
        <v>421</v>
      </c>
      <c r="D96" s="2" t="s">
        <v>202</v>
      </c>
      <c r="E96" s="2" t="s">
        <v>80</v>
      </c>
      <c r="F96" s="2" t="s">
        <v>72</v>
      </c>
      <c r="G96" s="2" t="s">
        <v>81</v>
      </c>
      <c r="H96" s="2" t="s">
        <v>204</v>
      </c>
      <c r="I96" s="2" t="str">
        <f aca="false">IF(EXACT(B96,D96),"No","Yes")</f>
        <v>No</v>
      </c>
    </row>
    <row r="97" customFormat="false" ht="15" hidden="false" customHeight="false" outlineLevel="0" collapsed="false">
      <c r="A97" s="2" t="n">
        <v>32</v>
      </c>
      <c r="B97" s="2" t="s">
        <v>202</v>
      </c>
      <c r="C97" s="2" t="s">
        <v>422</v>
      </c>
      <c r="D97" s="2" t="s">
        <v>202</v>
      </c>
      <c r="E97" s="2" t="s">
        <v>71</v>
      </c>
      <c r="F97" s="2" t="s">
        <v>73</v>
      </c>
      <c r="G97" s="2" t="s">
        <v>75</v>
      </c>
      <c r="H97" s="2" t="s">
        <v>205</v>
      </c>
      <c r="I97" s="2" t="str">
        <f aca="false">IF(EXACT(B97,D97),"No","Yes")</f>
        <v>No</v>
      </c>
    </row>
    <row r="98" customFormat="false" ht="15" hidden="false" customHeight="false" outlineLevel="0" collapsed="false">
      <c r="A98" s="2" t="n">
        <v>33</v>
      </c>
      <c r="B98" s="2" t="s">
        <v>206</v>
      </c>
      <c r="C98" s="2" t="s">
        <v>420</v>
      </c>
      <c r="D98" s="2" t="s">
        <v>206</v>
      </c>
      <c r="E98" s="2" t="s">
        <v>71</v>
      </c>
      <c r="F98" s="2" t="s">
        <v>88</v>
      </c>
      <c r="G98" s="2" t="s">
        <v>89</v>
      </c>
      <c r="H98" s="2" t="s">
        <v>91</v>
      </c>
      <c r="I98" s="2" t="str">
        <f aca="false">IF(EXACT(B98,D98),"No","Yes")</f>
        <v>No</v>
      </c>
    </row>
    <row r="99" customFormat="false" ht="15" hidden="false" customHeight="false" outlineLevel="0" collapsed="false">
      <c r="A99" s="2" t="n">
        <v>33</v>
      </c>
      <c r="B99" s="2" t="s">
        <v>206</v>
      </c>
      <c r="C99" s="2" t="s">
        <v>421</v>
      </c>
      <c r="D99" s="2" t="s">
        <v>206</v>
      </c>
      <c r="E99" s="2" t="s">
        <v>57</v>
      </c>
      <c r="F99" s="2" t="s">
        <v>114</v>
      </c>
      <c r="G99" s="2" t="s">
        <v>66</v>
      </c>
      <c r="H99" s="2" t="s">
        <v>207</v>
      </c>
      <c r="I99" s="2" t="str">
        <f aca="false">IF(EXACT(B99,D99),"No","Yes")</f>
        <v>No</v>
      </c>
    </row>
    <row r="100" customFormat="false" ht="15" hidden="false" customHeight="false" outlineLevel="0" collapsed="false">
      <c r="A100" s="2" t="n">
        <v>33</v>
      </c>
      <c r="B100" s="2" t="s">
        <v>206</v>
      </c>
      <c r="C100" s="2" t="s">
        <v>422</v>
      </c>
      <c r="D100" s="2" t="s">
        <v>206</v>
      </c>
      <c r="E100" s="2" t="s">
        <v>71</v>
      </c>
      <c r="F100" s="2" t="s">
        <v>114</v>
      </c>
      <c r="G100" s="2" t="s">
        <v>66</v>
      </c>
      <c r="H100" s="2" t="s">
        <v>208</v>
      </c>
      <c r="I100" s="2" t="str">
        <f aca="false">IF(EXACT(B100,D100),"No","Yes")</f>
        <v>No</v>
      </c>
    </row>
    <row r="101" customFormat="false" ht="15" hidden="false" customHeight="false" outlineLevel="0" collapsed="false">
      <c r="A101" s="2" t="n">
        <v>34</v>
      </c>
      <c r="B101" s="2" t="s">
        <v>209</v>
      </c>
      <c r="C101" s="2" t="s">
        <v>420</v>
      </c>
      <c r="D101" s="2" t="s">
        <v>210</v>
      </c>
      <c r="E101" s="2" t="s">
        <v>56</v>
      </c>
      <c r="F101" s="2" t="s">
        <v>72</v>
      </c>
      <c r="G101" s="2" t="s">
        <v>74</v>
      </c>
      <c r="H101" s="2" t="s">
        <v>211</v>
      </c>
      <c r="I101" s="2" t="str">
        <f aca="false">IF(EXACT(B101,D101),"No","Yes")</f>
        <v>Yes</v>
      </c>
    </row>
    <row r="102" customFormat="false" ht="15" hidden="false" customHeight="false" outlineLevel="0" collapsed="false">
      <c r="A102" s="2" t="n">
        <v>34</v>
      </c>
      <c r="B102" s="2" t="s">
        <v>209</v>
      </c>
      <c r="C102" s="2" t="s">
        <v>421</v>
      </c>
      <c r="D102" s="2" t="s">
        <v>209</v>
      </c>
      <c r="E102" s="2" t="s">
        <v>80</v>
      </c>
      <c r="F102" s="2" t="s">
        <v>114</v>
      </c>
      <c r="G102" s="2" t="s">
        <v>66</v>
      </c>
      <c r="H102" s="2" t="s">
        <v>212</v>
      </c>
      <c r="I102" s="2" t="str">
        <f aca="false">IF(EXACT(B102,D102),"No","Yes")</f>
        <v>No</v>
      </c>
    </row>
    <row r="103" customFormat="false" ht="15" hidden="false" customHeight="false" outlineLevel="0" collapsed="false">
      <c r="A103" s="2" t="n">
        <v>34</v>
      </c>
      <c r="B103" s="2" t="s">
        <v>209</v>
      </c>
      <c r="C103" s="2" t="s">
        <v>422</v>
      </c>
      <c r="D103" s="2" t="s">
        <v>210</v>
      </c>
      <c r="E103" s="2" t="s">
        <v>56</v>
      </c>
      <c r="F103" s="2" t="s">
        <v>114</v>
      </c>
      <c r="G103" s="2" t="s">
        <v>90</v>
      </c>
      <c r="H103" s="2" t="s">
        <v>213</v>
      </c>
      <c r="I103" s="2" t="str">
        <f aca="false">IF(EXACT(B103,D103),"No","Yes")</f>
        <v>Yes</v>
      </c>
    </row>
    <row r="104" customFormat="false" ht="15" hidden="false" customHeight="false" outlineLevel="0" collapsed="false">
      <c r="A104" s="2" t="n">
        <v>35</v>
      </c>
      <c r="B104" s="2" t="s">
        <v>214</v>
      </c>
      <c r="C104" s="2" t="s">
        <v>420</v>
      </c>
      <c r="D104" s="2" t="s">
        <v>214</v>
      </c>
      <c r="E104" s="2" t="s">
        <v>71</v>
      </c>
      <c r="F104" s="2" t="s">
        <v>73</v>
      </c>
      <c r="G104" s="2" t="s">
        <v>75</v>
      </c>
      <c r="H104" s="2" t="s">
        <v>215</v>
      </c>
      <c r="I104" s="2" t="str">
        <f aca="false">IF(EXACT(B104,D104),"No","Yes")</f>
        <v>No</v>
      </c>
    </row>
    <row r="105" customFormat="false" ht="15" hidden="false" customHeight="false" outlineLevel="0" collapsed="false">
      <c r="A105" s="2" t="n">
        <v>35</v>
      </c>
      <c r="B105" s="2" t="s">
        <v>214</v>
      </c>
      <c r="C105" s="2" t="s">
        <v>421</v>
      </c>
      <c r="D105" s="2" t="s">
        <v>214</v>
      </c>
      <c r="E105" s="2" t="s">
        <v>71</v>
      </c>
      <c r="F105" s="2" t="s">
        <v>72</v>
      </c>
      <c r="G105" s="2" t="s">
        <v>74</v>
      </c>
      <c r="H105" s="2" t="s">
        <v>137</v>
      </c>
      <c r="I105" s="2" t="str">
        <f aca="false">IF(EXACT(B105,D105),"No","Yes")</f>
        <v>No</v>
      </c>
    </row>
    <row r="106" customFormat="false" ht="15" hidden="false" customHeight="false" outlineLevel="0" collapsed="false">
      <c r="A106" s="2" t="n">
        <v>35</v>
      </c>
      <c r="B106" s="2" t="s">
        <v>214</v>
      </c>
      <c r="C106" s="2" t="s">
        <v>422</v>
      </c>
      <c r="D106" s="2" t="s">
        <v>214</v>
      </c>
      <c r="E106" s="2" t="s">
        <v>71</v>
      </c>
      <c r="F106" s="2" t="s">
        <v>72</v>
      </c>
      <c r="G106" s="2" t="s">
        <v>74</v>
      </c>
      <c r="H106" s="2" t="s">
        <v>138</v>
      </c>
      <c r="I106" s="2" t="str">
        <f aca="false">IF(EXACT(B106,D106),"No","Yes")</f>
        <v>No</v>
      </c>
    </row>
    <row r="107" customFormat="false" ht="15" hidden="false" customHeight="false" outlineLevel="0" collapsed="false">
      <c r="A107" s="2" t="n">
        <v>36</v>
      </c>
      <c r="B107" s="2" t="s">
        <v>216</v>
      </c>
      <c r="C107" s="2" t="s">
        <v>420</v>
      </c>
      <c r="D107" s="2" t="s">
        <v>216</v>
      </c>
      <c r="E107" s="2" t="s">
        <v>71</v>
      </c>
      <c r="F107" s="2" t="s">
        <v>73</v>
      </c>
      <c r="G107" s="2" t="s">
        <v>75</v>
      </c>
      <c r="H107" s="2" t="s">
        <v>217</v>
      </c>
      <c r="I107" s="2" t="str">
        <f aca="false">IF(EXACT(B107,D107),"No","Yes")</f>
        <v>No</v>
      </c>
    </row>
    <row r="108" customFormat="false" ht="15" hidden="false" customHeight="false" outlineLevel="0" collapsed="false">
      <c r="A108" s="2" t="n">
        <v>36</v>
      </c>
      <c r="B108" s="2" t="s">
        <v>216</v>
      </c>
      <c r="C108" s="2" t="s">
        <v>421</v>
      </c>
      <c r="D108" s="2" t="s">
        <v>216</v>
      </c>
      <c r="E108" s="2" t="s">
        <v>71</v>
      </c>
      <c r="F108" s="2" t="s">
        <v>73</v>
      </c>
      <c r="G108" s="2" t="s">
        <v>75</v>
      </c>
      <c r="H108" s="2" t="s">
        <v>218</v>
      </c>
      <c r="I108" s="2" t="str">
        <f aca="false">IF(EXACT(B108,D108),"No","Yes")</f>
        <v>No</v>
      </c>
    </row>
    <row r="109" customFormat="false" ht="15" hidden="false" customHeight="false" outlineLevel="0" collapsed="false">
      <c r="A109" s="2" t="n">
        <v>36</v>
      </c>
      <c r="B109" s="2" t="s">
        <v>216</v>
      </c>
      <c r="C109" s="2" t="s">
        <v>422</v>
      </c>
      <c r="D109" s="2" t="s">
        <v>216</v>
      </c>
      <c r="E109" s="2" t="s">
        <v>71</v>
      </c>
      <c r="F109" s="2" t="s">
        <v>72</v>
      </c>
      <c r="G109" s="2" t="s">
        <v>74</v>
      </c>
      <c r="H109" s="2" t="s">
        <v>219</v>
      </c>
      <c r="I109" s="2" t="str">
        <f aca="false">IF(EXACT(B109,D109),"No","Yes")</f>
        <v>No</v>
      </c>
    </row>
    <row r="110" customFormat="false" ht="15" hidden="false" customHeight="false" outlineLevel="0" collapsed="false">
      <c r="A110" s="2" t="n">
        <v>37</v>
      </c>
      <c r="B110" s="2" t="s">
        <v>220</v>
      </c>
      <c r="C110" s="2" t="s">
        <v>420</v>
      </c>
      <c r="D110" s="2" t="s">
        <v>220</v>
      </c>
      <c r="E110" s="2" t="s">
        <v>57</v>
      </c>
      <c r="F110" s="2" t="s">
        <v>58</v>
      </c>
      <c r="G110" s="2" t="s">
        <v>61</v>
      </c>
      <c r="H110" s="2" t="s">
        <v>221</v>
      </c>
      <c r="I110" s="2" t="str">
        <f aca="false">IF(EXACT(B110,D110),"No","Yes")</f>
        <v>No</v>
      </c>
    </row>
    <row r="111" customFormat="false" ht="15" hidden="false" customHeight="false" outlineLevel="0" collapsed="false">
      <c r="A111" s="2" t="n">
        <v>37</v>
      </c>
      <c r="B111" s="2" t="s">
        <v>220</v>
      </c>
      <c r="C111" s="2" t="s">
        <v>421</v>
      </c>
      <c r="D111" s="2" t="s">
        <v>220</v>
      </c>
      <c r="E111" s="2" t="s">
        <v>57</v>
      </c>
      <c r="F111" s="2" t="s">
        <v>150</v>
      </c>
      <c r="G111" s="2" t="s">
        <v>151</v>
      </c>
      <c r="H111" s="2" t="s">
        <v>218</v>
      </c>
      <c r="I111" s="2" t="str">
        <f aca="false">IF(EXACT(B111,D111),"No","Yes")</f>
        <v>No</v>
      </c>
    </row>
    <row r="112" customFormat="false" ht="15" hidden="false" customHeight="false" outlineLevel="0" collapsed="false">
      <c r="A112" s="2" t="n">
        <v>37</v>
      </c>
      <c r="B112" s="2" t="s">
        <v>220</v>
      </c>
      <c r="C112" s="2" t="s">
        <v>422</v>
      </c>
      <c r="D112" s="2" t="s">
        <v>220</v>
      </c>
      <c r="E112" s="2" t="s">
        <v>57</v>
      </c>
      <c r="F112" s="2" t="s">
        <v>58</v>
      </c>
      <c r="G112" s="2" t="s">
        <v>61</v>
      </c>
      <c r="H112" s="2" t="s">
        <v>219</v>
      </c>
      <c r="I112" s="2" t="str">
        <f aca="false">IF(EXACT(B112,D112),"No","Yes")</f>
        <v>No</v>
      </c>
    </row>
    <row r="113" customFormat="false" ht="15" hidden="false" customHeight="false" outlineLevel="0" collapsed="false">
      <c r="A113" s="2" t="n">
        <v>38</v>
      </c>
      <c r="B113" s="2" t="s">
        <v>222</v>
      </c>
      <c r="C113" s="2" t="s">
        <v>420</v>
      </c>
      <c r="D113" s="2" t="s">
        <v>223</v>
      </c>
      <c r="E113" s="2" t="s">
        <v>56</v>
      </c>
      <c r="F113" s="2" t="s">
        <v>150</v>
      </c>
      <c r="G113" s="2" t="s">
        <v>59</v>
      </c>
      <c r="H113" s="2" t="s">
        <v>224</v>
      </c>
      <c r="I113" s="2" t="str">
        <f aca="false">IF(EXACT(B113,D113),"No","Yes")</f>
        <v>Yes</v>
      </c>
    </row>
    <row r="114" customFormat="false" ht="15" hidden="false" customHeight="false" outlineLevel="0" collapsed="false">
      <c r="A114" s="2" t="n">
        <v>38</v>
      </c>
      <c r="B114" s="2" t="s">
        <v>222</v>
      </c>
      <c r="C114" s="2" t="s">
        <v>421</v>
      </c>
      <c r="D114" s="2" t="s">
        <v>222</v>
      </c>
      <c r="E114" s="2" t="s">
        <v>57</v>
      </c>
      <c r="F114" s="2" t="s">
        <v>88</v>
      </c>
      <c r="G114" s="2" t="s">
        <v>60</v>
      </c>
      <c r="H114" s="2" t="s">
        <v>225</v>
      </c>
      <c r="I114" s="2" t="str">
        <f aca="false">IF(EXACT(B114,D114),"No","Yes")</f>
        <v>No</v>
      </c>
    </row>
    <row r="115" customFormat="false" ht="15" hidden="false" customHeight="false" outlineLevel="0" collapsed="false">
      <c r="A115" s="2" t="n">
        <v>38</v>
      </c>
      <c r="B115" s="2" t="s">
        <v>222</v>
      </c>
      <c r="C115" s="2" t="s">
        <v>422</v>
      </c>
      <c r="D115" s="2" t="s">
        <v>222</v>
      </c>
      <c r="E115" s="2" t="s">
        <v>57</v>
      </c>
      <c r="F115" s="2" t="s">
        <v>150</v>
      </c>
      <c r="G115" s="2" t="s">
        <v>151</v>
      </c>
      <c r="H115" s="2" t="s">
        <v>226</v>
      </c>
      <c r="I115" s="2" t="str">
        <f aca="false">IF(EXACT(B115,D115),"No","Yes")</f>
        <v>No</v>
      </c>
    </row>
    <row r="116" customFormat="false" ht="15" hidden="false" customHeight="false" outlineLevel="0" collapsed="false">
      <c r="A116" s="2" t="n">
        <v>39</v>
      </c>
      <c r="B116" s="2" t="s">
        <v>227</v>
      </c>
      <c r="C116" s="2" t="s">
        <v>420</v>
      </c>
      <c r="D116" s="2" t="s">
        <v>227</v>
      </c>
      <c r="E116" s="2" t="s">
        <v>71</v>
      </c>
      <c r="F116" s="2" t="s">
        <v>73</v>
      </c>
      <c r="G116" s="2" t="s">
        <v>75</v>
      </c>
      <c r="H116" s="2" t="s">
        <v>228</v>
      </c>
      <c r="I116" s="2" t="str">
        <f aca="false">IF(EXACT(B116,D116),"No","Yes")</f>
        <v>No</v>
      </c>
    </row>
    <row r="117" customFormat="false" ht="15" hidden="false" customHeight="false" outlineLevel="0" collapsed="false">
      <c r="A117" s="2" t="n">
        <v>39</v>
      </c>
      <c r="B117" s="2" t="s">
        <v>227</v>
      </c>
      <c r="C117" s="2" t="s">
        <v>421</v>
      </c>
      <c r="D117" s="2" t="s">
        <v>227</v>
      </c>
      <c r="E117" s="2" t="s">
        <v>71</v>
      </c>
      <c r="F117" s="2" t="s">
        <v>73</v>
      </c>
      <c r="G117" s="2" t="s">
        <v>75</v>
      </c>
      <c r="H117" s="2" t="s">
        <v>229</v>
      </c>
      <c r="I117" s="2" t="str">
        <f aca="false">IF(EXACT(B117,D117),"No","Yes")</f>
        <v>No</v>
      </c>
    </row>
    <row r="118" customFormat="false" ht="15" hidden="false" customHeight="false" outlineLevel="0" collapsed="false">
      <c r="A118" s="2" t="n">
        <v>39</v>
      </c>
      <c r="B118" s="2" t="s">
        <v>227</v>
      </c>
      <c r="C118" s="2" t="s">
        <v>422</v>
      </c>
      <c r="D118" s="2" t="s">
        <v>227</v>
      </c>
      <c r="E118" s="2" t="s">
        <v>71</v>
      </c>
      <c r="F118" s="2" t="s">
        <v>72</v>
      </c>
      <c r="G118" s="2" t="s">
        <v>74</v>
      </c>
      <c r="H118" s="2" t="s">
        <v>230</v>
      </c>
      <c r="I118" s="2" t="str">
        <f aca="false">IF(EXACT(B118,D118),"No","Yes")</f>
        <v>No</v>
      </c>
    </row>
    <row r="119" customFormat="false" ht="15" hidden="false" customHeight="false" outlineLevel="0" collapsed="false">
      <c r="A119" s="2" t="n">
        <v>40</v>
      </c>
      <c r="B119" s="2" t="s">
        <v>231</v>
      </c>
      <c r="C119" s="2" t="s">
        <v>420</v>
      </c>
      <c r="D119" s="2" t="s">
        <v>231</v>
      </c>
      <c r="E119" s="2" t="s">
        <v>71</v>
      </c>
      <c r="F119" s="2" t="s">
        <v>73</v>
      </c>
      <c r="G119" s="2" t="s">
        <v>75</v>
      </c>
      <c r="H119" s="2" t="s">
        <v>232</v>
      </c>
      <c r="I119" s="2" t="str">
        <f aca="false">IF(EXACT(B119,D119),"No","Yes")</f>
        <v>No</v>
      </c>
    </row>
    <row r="120" customFormat="false" ht="15" hidden="false" customHeight="false" outlineLevel="0" collapsed="false">
      <c r="A120" s="2" t="n">
        <v>40</v>
      </c>
      <c r="B120" s="2" t="s">
        <v>231</v>
      </c>
      <c r="C120" s="2" t="s">
        <v>421</v>
      </c>
      <c r="D120" s="2" t="s">
        <v>231</v>
      </c>
      <c r="E120" s="2" t="s">
        <v>80</v>
      </c>
      <c r="F120" s="2" t="s">
        <v>73</v>
      </c>
      <c r="G120" s="2" t="s">
        <v>75</v>
      </c>
      <c r="H120" s="2" t="s">
        <v>233</v>
      </c>
      <c r="I120" s="2" t="str">
        <f aca="false">IF(EXACT(B120,D120),"No","Yes")</f>
        <v>No</v>
      </c>
    </row>
    <row r="121" customFormat="false" ht="15" hidden="false" customHeight="false" outlineLevel="0" collapsed="false">
      <c r="A121" s="2" t="n">
        <v>40</v>
      </c>
      <c r="B121" s="2" t="s">
        <v>231</v>
      </c>
      <c r="C121" s="2" t="s">
        <v>422</v>
      </c>
      <c r="D121" s="2" t="s">
        <v>231</v>
      </c>
      <c r="E121" s="2" t="s">
        <v>71</v>
      </c>
      <c r="F121" s="2" t="s">
        <v>72</v>
      </c>
      <c r="G121" s="2" t="s">
        <v>74</v>
      </c>
      <c r="H121" s="2" t="s">
        <v>234</v>
      </c>
      <c r="I121" s="2" t="str">
        <f aca="false">IF(EXACT(B121,D121),"No","Yes")</f>
        <v>No</v>
      </c>
    </row>
    <row r="122" customFormat="false" ht="15" hidden="false" customHeight="false" outlineLevel="0" collapsed="false">
      <c r="A122" s="2" t="n">
        <v>41</v>
      </c>
      <c r="B122" s="2" t="s">
        <v>235</v>
      </c>
      <c r="C122" s="2" t="s">
        <v>420</v>
      </c>
      <c r="D122" s="2" t="s">
        <v>235</v>
      </c>
      <c r="E122" s="2" t="s">
        <v>71</v>
      </c>
      <c r="F122" s="2" t="s">
        <v>72</v>
      </c>
      <c r="G122" s="2" t="s">
        <v>74</v>
      </c>
      <c r="H122" s="2" t="s">
        <v>236</v>
      </c>
      <c r="I122" s="2" t="str">
        <f aca="false">IF(EXACT(B122,D122),"No","Yes")</f>
        <v>No</v>
      </c>
    </row>
    <row r="123" customFormat="false" ht="15" hidden="false" customHeight="false" outlineLevel="0" collapsed="false">
      <c r="A123" s="2" t="n">
        <v>41</v>
      </c>
      <c r="B123" s="2" t="s">
        <v>235</v>
      </c>
      <c r="C123" s="2" t="s">
        <v>421</v>
      </c>
      <c r="D123" s="2" t="s">
        <v>235</v>
      </c>
      <c r="E123" s="2" t="s">
        <v>80</v>
      </c>
      <c r="F123" s="2" t="s">
        <v>72</v>
      </c>
      <c r="G123" s="2" t="s">
        <v>120</v>
      </c>
      <c r="H123" s="2" t="s">
        <v>237</v>
      </c>
      <c r="I123" s="2" t="str">
        <f aca="false">IF(EXACT(B123,D123),"No","Yes")</f>
        <v>No</v>
      </c>
    </row>
    <row r="124" customFormat="false" ht="15" hidden="false" customHeight="false" outlineLevel="0" collapsed="false">
      <c r="A124" s="2" t="n">
        <v>41</v>
      </c>
      <c r="B124" s="2" t="s">
        <v>235</v>
      </c>
      <c r="C124" s="2" t="s">
        <v>422</v>
      </c>
      <c r="D124" s="2" t="s">
        <v>235</v>
      </c>
      <c r="E124" s="2" t="s">
        <v>71</v>
      </c>
      <c r="F124" s="2" t="s">
        <v>72</v>
      </c>
      <c r="G124" s="2" t="s">
        <v>74</v>
      </c>
      <c r="H124" s="2" t="s">
        <v>238</v>
      </c>
      <c r="I124" s="2" t="str">
        <f aca="false">IF(EXACT(B124,D124),"No","Yes")</f>
        <v>No</v>
      </c>
    </row>
    <row r="125" customFormat="false" ht="15" hidden="false" customHeight="false" outlineLevel="0" collapsed="false">
      <c r="A125" s="2" t="n">
        <v>42</v>
      </c>
      <c r="B125" s="2" t="s">
        <v>239</v>
      </c>
      <c r="C125" s="2" t="s">
        <v>420</v>
      </c>
      <c r="D125" s="2" t="s">
        <v>240</v>
      </c>
      <c r="E125" s="2" t="s">
        <v>56</v>
      </c>
      <c r="F125" s="2" t="s">
        <v>72</v>
      </c>
      <c r="G125" s="2" t="s">
        <v>59</v>
      </c>
      <c r="H125" s="2" t="s">
        <v>241</v>
      </c>
      <c r="I125" s="2" t="str">
        <f aca="false">IF(EXACT(B125,D125),"No","Yes")</f>
        <v>Yes</v>
      </c>
    </row>
    <row r="126" customFormat="false" ht="15" hidden="false" customHeight="false" outlineLevel="0" collapsed="false">
      <c r="A126" s="2" t="n">
        <v>42</v>
      </c>
      <c r="B126" s="2" t="s">
        <v>239</v>
      </c>
      <c r="C126" s="2" t="s">
        <v>421</v>
      </c>
      <c r="D126" s="2" t="s">
        <v>239</v>
      </c>
      <c r="E126" s="2" t="s">
        <v>57</v>
      </c>
      <c r="F126" s="2" t="s">
        <v>72</v>
      </c>
      <c r="G126" s="2" t="s">
        <v>74</v>
      </c>
      <c r="H126" s="2" t="s">
        <v>242</v>
      </c>
      <c r="I126" s="2" t="str">
        <f aca="false">IF(EXACT(B126,D126),"No","Yes")</f>
        <v>No</v>
      </c>
    </row>
    <row r="127" customFormat="false" ht="15" hidden="false" customHeight="false" outlineLevel="0" collapsed="false">
      <c r="A127" s="2" t="n">
        <v>42</v>
      </c>
      <c r="B127" s="2" t="s">
        <v>239</v>
      </c>
      <c r="C127" s="2" t="s">
        <v>422</v>
      </c>
      <c r="D127" s="2" t="s">
        <v>239</v>
      </c>
      <c r="E127" s="2" t="s">
        <v>71</v>
      </c>
      <c r="F127" s="2" t="s">
        <v>73</v>
      </c>
      <c r="G127" s="2" t="s">
        <v>75</v>
      </c>
      <c r="H127" s="2" t="s">
        <v>243</v>
      </c>
      <c r="I127" s="2" t="str">
        <f aca="false">IF(EXACT(B127,D127),"No","Yes")</f>
        <v>No</v>
      </c>
    </row>
    <row r="128" customFormat="false" ht="15" hidden="false" customHeight="false" outlineLevel="0" collapsed="false">
      <c r="A128" s="2" t="n">
        <v>43</v>
      </c>
      <c r="B128" s="2" t="s">
        <v>244</v>
      </c>
      <c r="C128" s="2" t="s">
        <v>420</v>
      </c>
      <c r="D128" s="2" t="s">
        <v>244</v>
      </c>
      <c r="E128" s="2" t="s">
        <v>57</v>
      </c>
      <c r="F128" s="2" t="s">
        <v>72</v>
      </c>
      <c r="G128" s="2" t="s">
        <v>74</v>
      </c>
      <c r="H128" s="2" t="s">
        <v>245</v>
      </c>
      <c r="I128" s="2" t="str">
        <f aca="false">IF(EXACT(B128,D128),"No","Yes")</f>
        <v>No</v>
      </c>
    </row>
    <row r="129" customFormat="false" ht="15" hidden="false" customHeight="false" outlineLevel="0" collapsed="false">
      <c r="A129" s="2" t="n">
        <v>43</v>
      </c>
      <c r="B129" s="2" t="s">
        <v>244</v>
      </c>
      <c r="C129" s="2" t="s">
        <v>421</v>
      </c>
      <c r="D129" s="2" t="s">
        <v>244</v>
      </c>
      <c r="E129" s="2" t="s">
        <v>71</v>
      </c>
      <c r="F129" s="2" t="s">
        <v>73</v>
      </c>
      <c r="G129" s="2" t="s">
        <v>75</v>
      </c>
      <c r="H129" s="2" t="s">
        <v>242</v>
      </c>
      <c r="I129" s="2" t="str">
        <f aca="false">IF(EXACT(B129,D129),"No","Yes")</f>
        <v>No</v>
      </c>
    </row>
    <row r="130" customFormat="false" ht="15" hidden="false" customHeight="false" outlineLevel="0" collapsed="false">
      <c r="A130" s="2" t="n">
        <v>43</v>
      </c>
      <c r="B130" s="2" t="s">
        <v>244</v>
      </c>
      <c r="C130" s="2" t="s">
        <v>422</v>
      </c>
      <c r="D130" s="2" t="s">
        <v>244</v>
      </c>
      <c r="E130" s="2" t="s">
        <v>71</v>
      </c>
      <c r="F130" s="2" t="s">
        <v>73</v>
      </c>
      <c r="G130" s="2" t="s">
        <v>75</v>
      </c>
      <c r="H130" s="2" t="s">
        <v>243</v>
      </c>
      <c r="I130" s="2" t="str">
        <f aca="false">IF(EXACT(B130,D130),"No","Yes")</f>
        <v>No</v>
      </c>
    </row>
    <row r="131" customFormat="false" ht="15" hidden="false" customHeight="false" outlineLevel="0" collapsed="false">
      <c r="A131" s="2" t="n">
        <v>44</v>
      </c>
      <c r="B131" s="2" t="s">
        <v>246</v>
      </c>
      <c r="C131" s="2" t="s">
        <v>420</v>
      </c>
      <c r="D131" s="2" t="s">
        <v>247</v>
      </c>
      <c r="E131" s="2" t="s">
        <v>56</v>
      </c>
      <c r="F131" s="2" t="s">
        <v>58</v>
      </c>
      <c r="G131" s="2" t="s">
        <v>59</v>
      </c>
      <c r="H131" s="2" t="s">
        <v>248</v>
      </c>
      <c r="I131" s="2" t="str">
        <f aca="false">IF(EXACT(B131,D131),"No","Yes")</f>
        <v>Yes</v>
      </c>
    </row>
    <row r="132" customFormat="false" ht="15" hidden="false" customHeight="false" outlineLevel="0" collapsed="false">
      <c r="A132" s="2" t="n">
        <v>44</v>
      </c>
      <c r="B132" s="2" t="s">
        <v>246</v>
      </c>
      <c r="C132" s="2" t="s">
        <v>421</v>
      </c>
      <c r="D132" s="2" t="s">
        <v>246</v>
      </c>
      <c r="E132" s="2" t="s">
        <v>57</v>
      </c>
      <c r="F132" s="2" t="s">
        <v>88</v>
      </c>
      <c r="G132" s="2" t="s">
        <v>60</v>
      </c>
      <c r="H132" s="2" t="s">
        <v>137</v>
      </c>
      <c r="I132" s="2" t="str">
        <f aca="false">IF(EXACT(B132,D132),"No","Yes")</f>
        <v>No</v>
      </c>
    </row>
    <row r="133" customFormat="false" ht="15" hidden="false" customHeight="false" outlineLevel="0" collapsed="false">
      <c r="A133" s="2" t="n">
        <v>44</v>
      </c>
      <c r="B133" s="2" t="s">
        <v>246</v>
      </c>
      <c r="C133" s="2" t="s">
        <v>422</v>
      </c>
      <c r="D133" s="2" t="s">
        <v>246</v>
      </c>
      <c r="E133" s="2" t="s">
        <v>57</v>
      </c>
      <c r="F133" s="2" t="s">
        <v>72</v>
      </c>
      <c r="G133" s="2" t="s">
        <v>74</v>
      </c>
      <c r="H133" s="2" t="s">
        <v>138</v>
      </c>
      <c r="I133" s="2" t="str">
        <f aca="false">IF(EXACT(B133,D133),"No","Yes")</f>
        <v>No</v>
      </c>
    </row>
    <row r="134" customFormat="false" ht="15" hidden="false" customHeight="false" outlineLevel="0" collapsed="false">
      <c r="A134" s="2" t="n">
        <v>45</v>
      </c>
      <c r="B134" s="2" t="s">
        <v>249</v>
      </c>
      <c r="C134" s="2" t="s">
        <v>420</v>
      </c>
      <c r="D134" s="2" t="s">
        <v>249</v>
      </c>
      <c r="E134" s="2" t="s">
        <v>71</v>
      </c>
      <c r="F134" s="2" t="s">
        <v>88</v>
      </c>
      <c r="G134" s="2" t="s">
        <v>89</v>
      </c>
      <c r="H134" s="2" t="s">
        <v>91</v>
      </c>
      <c r="I134" s="2" t="str">
        <f aca="false">IF(EXACT(B134,D134),"No","Yes")</f>
        <v>No</v>
      </c>
    </row>
    <row r="135" customFormat="false" ht="15" hidden="false" customHeight="false" outlineLevel="0" collapsed="false">
      <c r="A135" s="2" t="n">
        <v>45</v>
      </c>
      <c r="B135" s="2" t="s">
        <v>249</v>
      </c>
      <c r="C135" s="2" t="s">
        <v>421</v>
      </c>
      <c r="D135" s="2" t="s">
        <v>249</v>
      </c>
      <c r="E135" s="2" t="s">
        <v>71</v>
      </c>
      <c r="F135" s="2" t="s">
        <v>88</v>
      </c>
      <c r="G135" s="2" t="s">
        <v>89</v>
      </c>
      <c r="H135" s="2" t="s">
        <v>91</v>
      </c>
      <c r="I135" s="2" t="str">
        <f aca="false">IF(EXACT(B135,D135),"No","Yes")</f>
        <v>No</v>
      </c>
    </row>
    <row r="136" customFormat="false" ht="15" hidden="false" customHeight="false" outlineLevel="0" collapsed="false">
      <c r="A136" s="2" t="n">
        <v>45</v>
      </c>
      <c r="B136" s="2" t="s">
        <v>249</v>
      </c>
      <c r="C136" s="2" t="s">
        <v>422</v>
      </c>
      <c r="D136" s="2" t="s">
        <v>249</v>
      </c>
      <c r="E136" s="2" t="s">
        <v>71</v>
      </c>
      <c r="F136" s="2" t="s">
        <v>88</v>
      </c>
      <c r="G136" s="2" t="s">
        <v>89</v>
      </c>
      <c r="H136" s="2" t="s">
        <v>91</v>
      </c>
      <c r="I136" s="2" t="str">
        <f aca="false">IF(EXACT(B136,D136),"No","Yes")</f>
        <v>No</v>
      </c>
    </row>
    <row r="137" customFormat="false" ht="15" hidden="false" customHeight="false" outlineLevel="0" collapsed="false">
      <c r="A137" s="2" t="n">
        <v>46</v>
      </c>
      <c r="B137" s="2" t="s">
        <v>250</v>
      </c>
      <c r="C137" s="2" t="s">
        <v>420</v>
      </c>
      <c r="D137" s="2" t="s">
        <v>250</v>
      </c>
      <c r="E137" s="2" t="s">
        <v>57</v>
      </c>
      <c r="F137" s="2" t="s">
        <v>58</v>
      </c>
      <c r="G137" s="2" t="s">
        <v>61</v>
      </c>
      <c r="H137" s="2" t="s">
        <v>251</v>
      </c>
      <c r="I137" s="2" t="str">
        <f aca="false">IF(EXACT(B137,D137),"No","Yes")</f>
        <v>No</v>
      </c>
    </row>
    <row r="138" customFormat="false" ht="15" hidden="false" customHeight="false" outlineLevel="0" collapsed="false">
      <c r="A138" s="2" t="n">
        <v>46</v>
      </c>
      <c r="B138" s="2" t="s">
        <v>250</v>
      </c>
      <c r="C138" s="2" t="s">
        <v>421</v>
      </c>
      <c r="D138" s="2" t="s">
        <v>250</v>
      </c>
      <c r="E138" s="2" t="s">
        <v>80</v>
      </c>
      <c r="F138" s="2" t="s">
        <v>88</v>
      </c>
      <c r="G138" s="2" t="s">
        <v>120</v>
      </c>
      <c r="H138" s="2" t="s">
        <v>252</v>
      </c>
      <c r="I138" s="2" t="str">
        <f aca="false">IF(EXACT(B138,D138),"No","Yes")</f>
        <v>No</v>
      </c>
    </row>
    <row r="139" customFormat="false" ht="15" hidden="false" customHeight="false" outlineLevel="0" collapsed="false">
      <c r="A139" s="2" t="n">
        <v>46</v>
      </c>
      <c r="B139" s="2" t="s">
        <v>250</v>
      </c>
      <c r="C139" s="2" t="s">
        <v>422</v>
      </c>
      <c r="D139" s="2" t="s">
        <v>250</v>
      </c>
      <c r="E139" s="2" t="s">
        <v>71</v>
      </c>
      <c r="F139" s="2" t="s">
        <v>88</v>
      </c>
      <c r="G139" s="2" t="s">
        <v>89</v>
      </c>
      <c r="H139" s="2" t="s">
        <v>91</v>
      </c>
      <c r="I139" s="2" t="str">
        <f aca="false">IF(EXACT(B139,D139),"No","Yes")</f>
        <v>No</v>
      </c>
    </row>
    <row r="140" customFormat="false" ht="15" hidden="false" customHeight="false" outlineLevel="0" collapsed="false">
      <c r="A140" s="2" t="n">
        <v>47</v>
      </c>
      <c r="B140" s="2" t="s">
        <v>253</v>
      </c>
      <c r="C140" s="2" t="s">
        <v>420</v>
      </c>
      <c r="D140" s="2" t="s">
        <v>254</v>
      </c>
      <c r="E140" s="2" t="s">
        <v>56</v>
      </c>
      <c r="F140" s="2" t="s">
        <v>88</v>
      </c>
      <c r="G140" s="2" t="s">
        <v>59</v>
      </c>
      <c r="H140" s="2" t="s">
        <v>255</v>
      </c>
      <c r="I140" s="2" t="str">
        <f aca="false">IF(EXACT(B140,D140),"No","Yes")</f>
        <v>Yes</v>
      </c>
    </row>
    <row r="141" customFormat="false" ht="15" hidden="false" customHeight="false" outlineLevel="0" collapsed="false">
      <c r="A141" s="2" t="n">
        <v>47</v>
      </c>
      <c r="B141" s="2" t="s">
        <v>253</v>
      </c>
      <c r="C141" s="2" t="s">
        <v>421</v>
      </c>
      <c r="D141" s="2" t="s">
        <v>254</v>
      </c>
      <c r="E141" s="2" t="s">
        <v>56</v>
      </c>
      <c r="F141" s="2" t="s">
        <v>88</v>
      </c>
      <c r="G141" s="2" t="s">
        <v>59</v>
      </c>
      <c r="H141" s="2" t="s">
        <v>91</v>
      </c>
      <c r="I141" s="2" t="str">
        <f aca="false">IF(EXACT(B141,D141),"No","Yes")</f>
        <v>Yes</v>
      </c>
    </row>
    <row r="142" customFormat="false" ht="15" hidden="false" customHeight="false" outlineLevel="0" collapsed="false">
      <c r="A142" s="2" t="n">
        <v>47</v>
      </c>
      <c r="B142" s="2" t="s">
        <v>253</v>
      </c>
      <c r="C142" s="2" t="s">
        <v>422</v>
      </c>
      <c r="D142" s="2" t="s">
        <v>253</v>
      </c>
      <c r="E142" s="2" t="s">
        <v>71</v>
      </c>
      <c r="F142" s="2" t="s">
        <v>88</v>
      </c>
      <c r="G142" s="2" t="s">
        <v>89</v>
      </c>
      <c r="H142" s="2" t="s">
        <v>91</v>
      </c>
      <c r="I142" s="2" t="str">
        <f aca="false">IF(EXACT(B142,D142),"No","Yes")</f>
        <v>No</v>
      </c>
    </row>
    <row r="143" customFormat="false" ht="15" hidden="false" customHeight="false" outlineLevel="0" collapsed="false">
      <c r="A143" s="2" t="n">
        <v>48</v>
      </c>
      <c r="B143" s="2" t="s">
        <v>256</v>
      </c>
      <c r="C143" s="2" t="s">
        <v>420</v>
      </c>
      <c r="D143" s="2" t="s">
        <v>256</v>
      </c>
      <c r="E143" s="2" t="s">
        <v>57</v>
      </c>
      <c r="F143" s="2" t="s">
        <v>58</v>
      </c>
      <c r="G143" s="2" t="s">
        <v>66</v>
      </c>
      <c r="H143" s="2" t="s">
        <v>257</v>
      </c>
      <c r="I143" s="2" t="str">
        <f aca="false">IF(EXACT(B143,D143),"No","Yes")</f>
        <v>No</v>
      </c>
    </row>
    <row r="144" customFormat="false" ht="15" hidden="false" customHeight="false" outlineLevel="0" collapsed="false">
      <c r="A144" s="2" t="n">
        <v>48</v>
      </c>
      <c r="B144" s="2" t="s">
        <v>256</v>
      </c>
      <c r="C144" s="2" t="s">
        <v>421</v>
      </c>
      <c r="D144" s="2" t="s">
        <v>256</v>
      </c>
      <c r="E144" s="2" t="s">
        <v>57</v>
      </c>
      <c r="F144" s="2" t="s">
        <v>58</v>
      </c>
      <c r="G144" s="2" t="s">
        <v>66</v>
      </c>
      <c r="H144" s="2" t="s">
        <v>258</v>
      </c>
      <c r="I144" s="2" t="str">
        <f aca="false">IF(EXACT(B144,D144),"No","Yes")</f>
        <v>No</v>
      </c>
    </row>
    <row r="145" customFormat="false" ht="15" hidden="false" customHeight="false" outlineLevel="0" collapsed="false">
      <c r="A145" s="2" t="n">
        <v>48</v>
      </c>
      <c r="B145" s="2" t="s">
        <v>256</v>
      </c>
      <c r="C145" s="2" t="s">
        <v>422</v>
      </c>
      <c r="D145" s="2" t="s">
        <v>256</v>
      </c>
      <c r="E145" s="2" t="s">
        <v>71</v>
      </c>
      <c r="F145" s="2" t="s">
        <v>114</v>
      </c>
      <c r="G145" s="2" t="s">
        <v>66</v>
      </c>
      <c r="H145" s="2" t="s">
        <v>259</v>
      </c>
      <c r="I145" s="2" t="str">
        <f aca="false">IF(EXACT(B145,D145),"No","Yes")</f>
        <v>No</v>
      </c>
    </row>
    <row r="146" customFormat="false" ht="15" hidden="false" customHeight="false" outlineLevel="0" collapsed="false">
      <c r="A146" s="2" t="n">
        <v>49</v>
      </c>
      <c r="B146" s="2" t="s">
        <v>260</v>
      </c>
      <c r="C146" s="2" t="s">
        <v>420</v>
      </c>
      <c r="D146" s="2" t="s">
        <v>260</v>
      </c>
      <c r="E146" s="2" t="s">
        <v>57</v>
      </c>
      <c r="F146" s="2" t="s">
        <v>58</v>
      </c>
      <c r="G146" s="2" t="s">
        <v>66</v>
      </c>
      <c r="H146" s="2" t="s">
        <v>261</v>
      </c>
      <c r="I146" s="2" t="str">
        <f aca="false">IF(EXACT(B146,D146),"No","Yes")</f>
        <v>No</v>
      </c>
    </row>
    <row r="147" customFormat="false" ht="15" hidden="false" customHeight="false" outlineLevel="0" collapsed="false">
      <c r="A147" s="2" t="n">
        <v>49</v>
      </c>
      <c r="B147" s="2" t="s">
        <v>260</v>
      </c>
      <c r="C147" s="2" t="s">
        <v>421</v>
      </c>
      <c r="D147" s="2" t="s">
        <v>260</v>
      </c>
      <c r="E147" s="2" t="s">
        <v>57</v>
      </c>
      <c r="F147" s="2" t="s">
        <v>58</v>
      </c>
      <c r="G147" s="2" t="s">
        <v>66</v>
      </c>
      <c r="H147" s="2" t="s">
        <v>262</v>
      </c>
      <c r="I147" s="2" t="str">
        <f aca="false">IF(EXACT(B147,D147),"No","Yes")</f>
        <v>No</v>
      </c>
    </row>
    <row r="148" customFormat="false" ht="15" hidden="false" customHeight="false" outlineLevel="0" collapsed="false">
      <c r="A148" s="2" t="n">
        <v>49</v>
      </c>
      <c r="B148" s="2" t="s">
        <v>260</v>
      </c>
      <c r="C148" s="2" t="s">
        <v>422</v>
      </c>
      <c r="D148" s="2" t="s">
        <v>260</v>
      </c>
      <c r="E148" s="2" t="s">
        <v>71</v>
      </c>
      <c r="F148" s="2" t="s">
        <v>114</v>
      </c>
      <c r="G148" s="2" t="s">
        <v>66</v>
      </c>
      <c r="H148" s="2" t="s">
        <v>263</v>
      </c>
      <c r="I148" s="2" t="str">
        <f aca="false">IF(EXACT(B148,D148),"No","Yes")</f>
        <v>No</v>
      </c>
    </row>
    <row r="149" customFormat="false" ht="15" hidden="false" customHeight="false" outlineLevel="0" collapsed="false">
      <c r="A149" s="2" t="n">
        <v>50</v>
      </c>
      <c r="B149" s="2" t="s">
        <v>264</v>
      </c>
      <c r="C149" s="2" t="s">
        <v>420</v>
      </c>
      <c r="D149" s="2" t="s">
        <v>264</v>
      </c>
      <c r="E149" s="2" t="s">
        <v>57</v>
      </c>
      <c r="F149" s="2" t="s">
        <v>58</v>
      </c>
      <c r="G149" s="2" t="s">
        <v>61</v>
      </c>
      <c r="H149" s="2" t="s">
        <v>265</v>
      </c>
      <c r="I149" s="2" t="str">
        <f aca="false">IF(EXACT(B149,D149),"No","Yes")</f>
        <v>No</v>
      </c>
    </row>
    <row r="150" customFormat="false" ht="15" hidden="false" customHeight="false" outlineLevel="0" collapsed="false">
      <c r="A150" s="2" t="n">
        <v>50</v>
      </c>
      <c r="B150" s="2" t="s">
        <v>264</v>
      </c>
      <c r="C150" s="2" t="s">
        <v>421</v>
      </c>
      <c r="D150" s="2" t="s">
        <v>264</v>
      </c>
      <c r="E150" s="2" t="s">
        <v>71</v>
      </c>
      <c r="F150" s="2" t="s">
        <v>88</v>
      </c>
      <c r="G150" s="2" t="s">
        <v>89</v>
      </c>
      <c r="H150" s="2" t="s">
        <v>91</v>
      </c>
      <c r="I150" s="2" t="str">
        <f aca="false">IF(EXACT(B150,D150),"No","Yes")</f>
        <v>No</v>
      </c>
    </row>
    <row r="151" customFormat="false" ht="15" hidden="false" customHeight="false" outlineLevel="0" collapsed="false">
      <c r="A151" s="2" t="n">
        <v>50</v>
      </c>
      <c r="B151" s="2" t="s">
        <v>264</v>
      </c>
      <c r="C151" s="2" t="s">
        <v>422</v>
      </c>
      <c r="D151" s="2" t="s">
        <v>264</v>
      </c>
      <c r="E151" s="2" t="s">
        <v>71</v>
      </c>
      <c r="F151" s="2" t="s">
        <v>114</v>
      </c>
      <c r="G151" s="2" t="s">
        <v>66</v>
      </c>
      <c r="H151" s="2" t="s">
        <v>266</v>
      </c>
      <c r="I151" s="2" t="str">
        <f aca="false">IF(EXACT(B151,D151),"No","Yes")</f>
        <v>No</v>
      </c>
    </row>
    <row r="152" customFormat="false" ht="15" hidden="false" customHeight="false" outlineLevel="0" collapsed="false">
      <c r="A152" s="2" t="n">
        <v>51</v>
      </c>
      <c r="B152" s="2" t="s">
        <v>267</v>
      </c>
      <c r="C152" s="2" t="s">
        <v>420</v>
      </c>
      <c r="D152" s="2" t="s">
        <v>268</v>
      </c>
      <c r="E152" s="2" t="s">
        <v>56</v>
      </c>
      <c r="F152" s="2" t="s">
        <v>58</v>
      </c>
      <c r="G152" s="2" t="s">
        <v>59</v>
      </c>
      <c r="H152" s="2" t="s">
        <v>269</v>
      </c>
      <c r="I152" s="2" t="str">
        <f aca="false">IF(EXACT(B152,D152),"No","Yes")</f>
        <v>Yes</v>
      </c>
    </row>
    <row r="153" customFormat="false" ht="15" hidden="false" customHeight="false" outlineLevel="0" collapsed="false">
      <c r="A153" s="2" t="n">
        <v>51</v>
      </c>
      <c r="B153" s="2" t="s">
        <v>267</v>
      </c>
      <c r="C153" s="2" t="s">
        <v>421</v>
      </c>
      <c r="D153" s="2" t="s">
        <v>267</v>
      </c>
      <c r="E153" s="2" t="s">
        <v>80</v>
      </c>
      <c r="F153" s="2" t="s">
        <v>88</v>
      </c>
      <c r="G153" s="2" t="s">
        <v>90</v>
      </c>
      <c r="H153" s="2" t="s">
        <v>91</v>
      </c>
      <c r="I153" s="2" t="str">
        <f aca="false">IF(EXACT(B153,D153),"No","Yes")</f>
        <v>No</v>
      </c>
    </row>
    <row r="154" customFormat="false" ht="15" hidden="false" customHeight="false" outlineLevel="0" collapsed="false">
      <c r="A154" s="2" t="n">
        <v>51</v>
      </c>
      <c r="B154" s="2" t="s">
        <v>267</v>
      </c>
      <c r="C154" s="2" t="s">
        <v>422</v>
      </c>
      <c r="D154" s="2" t="s">
        <v>267</v>
      </c>
      <c r="E154" s="2" t="s">
        <v>71</v>
      </c>
      <c r="F154" s="2" t="s">
        <v>88</v>
      </c>
      <c r="G154" s="2" t="s">
        <v>89</v>
      </c>
      <c r="H154" s="2" t="s">
        <v>91</v>
      </c>
      <c r="I154" s="2" t="str">
        <f aca="false">IF(EXACT(B154,D154),"No","Yes")</f>
        <v>No</v>
      </c>
    </row>
    <row r="155" customFormat="false" ht="15" hidden="false" customHeight="false" outlineLevel="0" collapsed="false">
      <c r="A155" s="2" t="n">
        <v>52</v>
      </c>
      <c r="B155" s="2" t="s">
        <v>270</v>
      </c>
      <c r="C155" s="2" t="s">
        <v>420</v>
      </c>
      <c r="D155" s="2" t="s">
        <v>271</v>
      </c>
      <c r="E155" s="2" t="s">
        <v>56</v>
      </c>
      <c r="F155" s="2" t="s">
        <v>58</v>
      </c>
      <c r="G155" s="2" t="s">
        <v>59</v>
      </c>
      <c r="H155" s="2" t="s">
        <v>273</v>
      </c>
      <c r="I155" s="2" t="str">
        <f aca="false">IF(EXACT(B155,D155),"No","Yes")</f>
        <v>Yes</v>
      </c>
    </row>
    <row r="156" customFormat="false" ht="15" hidden="false" customHeight="false" outlineLevel="0" collapsed="false">
      <c r="A156" s="2" t="n">
        <v>52</v>
      </c>
      <c r="B156" s="2" t="s">
        <v>270</v>
      </c>
      <c r="C156" s="2" t="s">
        <v>421</v>
      </c>
      <c r="D156" s="2" t="s">
        <v>272</v>
      </c>
      <c r="E156" s="2" t="s">
        <v>56</v>
      </c>
      <c r="F156" s="2" t="s">
        <v>88</v>
      </c>
      <c r="G156" s="2" t="s">
        <v>120</v>
      </c>
      <c r="H156" s="2" t="s">
        <v>274</v>
      </c>
      <c r="I156" s="2" t="str">
        <f aca="false">IF(EXACT(B156,D156),"No","Yes")</f>
        <v>Yes</v>
      </c>
    </row>
    <row r="157" customFormat="false" ht="15" hidden="false" customHeight="false" outlineLevel="0" collapsed="false">
      <c r="A157" s="2" t="n">
        <v>52</v>
      </c>
      <c r="B157" s="2" t="s">
        <v>270</v>
      </c>
      <c r="C157" s="2" t="s">
        <v>422</v>
      </c>
      <c r="D157" s="2" t="s">
        <v>270</v>
      </c>
      <c r="E157" s="2" t="s">
        <v>71</v>
      </c>
      <c r="F157" s="2" t="s">
        <v>114</v>
      </c>
      <c r="G157" s="2" t="s">
        <v>66</v>
      </c>
      <c r="H157" s="2" t="s">
        <v>275</v>
      </c>
      <c r="I157" s="2" t="str">
        <f aca="false">IF(EXACT(B157,D157),"No","Yes")</f>
        <v>No</v>
      </c>
    </row>
    <row r="158" customFormat="false" ht="15" hidden="false" customHeight="false" outlineLevel="0" collapsed="false">
      <c r="A158" s="2" t="n">
        <v>53</v>
      </c>
      <c r="B158" s="2" t="s">
        <v>276</v>
      </c>
      <c r="C158" s="2" t="s">
        <v>420</v>
      </c>
      <c r="D158" s="2" t="s">
        <v>276</v>
      </c>
      <c r="E158" s="2" t="s">
        <v>71</v>
      </c>
      <c r="F158" s="2" t="s">
        <v>73</v>
      </c>
      <c r="G158" s="2" t="s">
        <v>75</v>
      </c>
      <c r="H158" s="2" t="s">
        <v>277</v>
      </c>
      <c r="I158" s="2" t="str">
        <f aca="false">IF(EXACT(B158,D158),"No","Yes")</f>
        <v>No</v>
      </c>
    </row>
    <row r="159" customFormat="false" ht="15" hidden="false" customHeight="false" outlineLevel="0" collapsed="false">
      <c r="A159" s="2" t="n">
        <v>53</v>
      </c>
      <c r="B159" s="2" t="s">
        <v>276</v>
      </c>
      <c r="C159" s="2" t="s">
        <v>421</v>
      </c>
      <c r="D159" s="2" t="s">
        <v>276</v>
      </c>
      <c r="E159" s="2" t="s">
        <v>71</v>
      </c>
      <c r="F159" s="2" t="s">
        <v>73</v>
      </c>
      <c r="G159" s="2" t="s">
        <v>75</v>
      </c>
      <c r="H159" s="2" t="s">
        <v>92</v>
      </c>
      <c r="I159" s="2" t="str">
        <f aca="false">IF(EXACT(B159,D159),"No","Yes")</f>
        <v>No</v>
      </c>
    </row>
    <row r="160" customFormat="false" ht="15" hidden="false" customHeight="false" outlineLevel="0" collapsed="false">
      <c r="A160" s="2" t="n">
        <v>53</v>
      </c>
      <c r="B160" s="2" t="s">
        <v>276</v>
      </c>
      <c r="C160" s="2" t="s">
        <v>422</v>
      </c>
      <c r="D160" s="2" t="s">
        <v>276</v>
      </c>
      <c r="E160" s="2" t="s">
        <v>71</v>
      </c>
      <c r="F160" s="2" t="s">
        <v>72</v>
      </c>
      <c r="G160" s="2" t="s">
        <v>74</v>
      </c>
      <c r="H160" s="2" t="s">
        <v>278</v>
      </c>
      <c r="I160" s="2" t="str">
        <f aca="false">IF(EXACT(B160,D160),"No","Yes")</f>
        <v>No</v>
      </c>
    </row>
    <row r="161" customFormat="false" ht="15" hidden="false" customHeight="false" outlineLevel="0" collapsed="false">
      <c r="A161" s="2" t="n">
        <v>54</v>
      </c>
      <c r="B161" s="2" t="s">
        <v>279</v>
      </c>
      <c r="C161" s="2" t="s">
        <v>420</v>
      </c>
      <c r="D161" s="2" t="s">
        <v>279</v>
      </c>
      <c r="E161" s="2" t="s">
        <v>57</v>
      </c>
      <c r="F161" s="2" t="s">
        <v>72</v>
      </c>
      <c r="G161" s="2" t="s">
        <v>74</v>
      </c>
      <c r="H161" s="2" t="s">
        <v>280</v>
      </c>
      <c r="I161" s="2" t="str">
        <f aca="false">IF(EXACT(B161,D161),"No","Yes")</f>
        <v>No</v>
      </c>
    </row>
    <row r="162" customFormat="false" ht="15" hidden="false" customHeight="false" outlineLevel="0" collapsed="false">
      <c r="A162" s="2" t="n">
        <v>54</v>
      </c>
      <c r="B162" s="2" t="s">
        <v>279</v>
      </c>
      <c r="C162" s="2" t="s">
        <v>421</v>
      </c>
      <c r="D162" s="2" t="s">
        <v>279</v>
      </c>
      <c r="E162" s="2" t="s">
        <v>80</v>
      </c>
      <c r="F162" s="2" t="s">
        <v>72</v>
      </c>
      <c r="G162" s="2" t="s">
        <v>81</v>
      </c>
      <c r="H162" s="2" t="s">
        <v>281</v>
      </c>
      <c r="I162" s="2" t="str">
        <f aca="false">IF(EXACT(B162,D162),"No","Yes")</f>
        <v>No</v>
      </c>
    </row>
    <row r="163" customFormat="false" ht="15" hidden="false" customHeight="false" outlineLevel="0" collapsed="false">
      <c r="A163" s="2" t="n">
        <v>54</v>
      </c>
      <c r="B163" s="2" t="s">
        <v>279</v>
      </c>
      <c r="C163" s="2" t="s">
        <v>422</v>
      </c>
      <c r="D163" s="2" t="s">
        <v>279</v>
      </c>
      <c r="E163" s="2" t="s">
        <v>71</v>
      </c>
      <c r="F163" s="2" t="s">
        <v>72</v>
      </c>
      <c r="G163" s="2" t="s">
        <v>74</v>
      </c>
      <c r="H163" s="2" t="s">
        <v>282</v>
      </c>
      <c r="I163" s="2" t="str">
        <f aca="false">IF(EXACT(B163,D163),"No","Yes")</f>
        <v>No</v>
      </c>
    </row>
    <row r="164" customFormat="false" ht="15" hidden="false" customHeight="false" outlineLevel="0" collapsed="false">
      <c r="A164" s="2" t="n">
        <v>55</v>
      </c>
      <c r="B164" s="2" t="s">
        <v>283</v>
      </c>
      <c r="C164" s="2" t="s">
        <v>420</v>
      </c>
      <c r="D164" s="2" t="s">
        <v>283</v>
      </c>
      <c r="E164" s="2" t="s">
        <v>57</v>
      </c>
      <c r="F164" s="2" t="s">
        <v>72</v>
      </c>
      <c r="G164" s="2" t="s">
        <v>74</v>
      </c>
      <c r="H164" s="2" t="s">
        <v>284</v>
      </c>
      <c r="I164" s="2" t="str">
        <f aca="false">IF(EXACT(B164,D164),"No","Yes")</f>
        <v>No</v>
      </c>
    </row>
    <row r="165" customFormat="false" ht="15" hidden="false" customHeight="false" outlineLevel="0" collapsed="false">
      <c r="A165" s="2" t="n">
        <v>55</v>
      </c>
      <c r="B165" s="2" t="s">
        <v>283</v>
      </c>
      <c r="C165" s="2" t="s">
        <v>421</v>
      </c>
      <c r="D165" s="2" t="s">
        <v>283</v>
      </c>
      <c r="E165" s="2" t="s">
        <v>57</v>
      </c>
      <c r="F165" s="2" t="s">
        <v>72</v>
      </c>
      <c r="G165" s="2" t="s">
        <v>60</v>
      </c>
      <c r="H165" s="2" t="s">
        <v>218</v>
      </c>
      <c r="I165" s="2" t="str">
        <f aca="false">IF(EXACT(B165,D165),"No","Yes")</f>
        <v>No</v>
      </c>
    </row>
    <row r="166" customFormat="false" ht="15" hidden="false" customHeight="false" outlineLevel="0" collapsed="false">
      <c r="A166" s="2" t="n">
        <v>55</v>
      </c>
      <c r="B166" s="2" t="s">
        <v>283</v>
      </c>
      <c r="C166" s="2" t="s">
        <v>422</v>
      </c>
      <c r="D166" s="2" t="s">
        <v>283</v>
      </c>
      <c r="E166" s="2" t="s">
        <v>71</v>
      </c>
      <c r="F166" s="2" t="s">
        <v>72</v>
      </c>
      <c r="G166" s="2" t="s">
        <v>74</v>
      </c>
      <c r="H166" s="2" t="s">
        <v>219</v>
      </c>
      <c r="I166" s="2" t="str">
        <f aca="false">IF(EXACT(B166,D166),"No","Yes")</f>
        <v>No</v>
      </c>
    </row>
    <row r="167" customFormat="false" ht="15" hidden="false" customHeight="false" outlineLevel="0" collapsed="false">
      <c r="A167" s="2" t="n">
        <v>56</v>
      </c>
      <c r="B167" s="2" t="s">
        <v>285</v>
      </c>
      <c r="C167" s="2" t="s">
        <v>420</v>
      </c>
      <c r="D167" s="2" t="s">
        <v>285</v>
      </c>
      <c r="E167" s="2" t="s">
        <v>57</v>
      </c>
      <c r="F167" s="2" t="s">
        <v>72</v>
      </c>
      <c r="G167" s="2" t="s">
        <v>74</v>
      </c>
      <c r="H167" s="2" t="s">
        <v>286</v>
      </c>
      <c r="I167" s="2" t="str">
        <f aca="false">IF(EXACT(B167,D167),"No","Yes")</f>
        <v>No</v>
      </c>
    </row>
    <row r="168" customFormat="false" ht="15" hidden="false" customHeight="false" outlineLevel="0" collapsed="false">
      <c r="A168" s="2" t="n">
        <v>56</v>
      </c>
      <c r="B168" s="2" t="s">
        <v>285</v>
      </c>
      <c r="C168" s="2" t="s">
        <v>421</v>
      </c>
      <c r="D168" s="2" t="s">
        <v>285</v>
      </c>
      <c r="E168" s="2" t="s">
        <v>57</v>
      </c>
      <c r="F168" s="2" t="s">
        <v>72</v>
      </c>
      <c r="G168" s="2" t="s">
        <v>74</v>
      </c>
      <c r="H168" s="2" t="s">
        <v>137</v>
      </c>
      <c r="I168" s="2" t="str">
        <f aca="false">IF(EXACT(B168,D168),"No","Yes")</f>
        <v>No</v>
      </c>
    </row>
    <row r="169" customFormat="false" ht="15" hidden="false" customHeight="false" outlineLevel="0" collapsed="false">
      <c r="A169" s="2" t="n">
        <v>56</v>
      </c>
      <c r="B169" s="2" t="s">
        <v>285</v>
      </c>
      <c r="C169" s="2" t="s">
        <v>422</v>
      </c>
      <c r="D169" s="2" t="s">
        <v>285</v>
      </c>
      <c r="E169" s="2" t="s">
        <v>71</v>
      </c>
      <c r="F169" s="2" t="s">
        <v>72</v>
      </c>
      <c r="G169" s="2" t="s">
        <v>74</v>
      </c>
      <c r="H169" s="2" t="s">
        <v>138</v>
      </c>
      <c r="I169" s="2" t="str">
        <f aca="false">IF(EXACT(B169,D169),"No","Yes")</f>
        <v>No</v>
      </c>
    </row>
    <row r="170" customFormat="false" ht="15" hidden="false" customHeight="false" outlineLevel="0" collapsed="false">
      <c r="A170" s="2" t="n">
        <v>57</v>
      </c>
      <c r="B170" s="2" t="s">
        <v>287</v>
      </c>
      <c r="C170" s="2" t="s">
        <v>420</v>
      </c>
      <c r="D170" s="2" t="s">
        <v>288</v>
      </c>
      <c r="E170" s="2" t="s">
        <v>56</v>
      </c>
      <c r="F170" s="2" t="s">
        <v>72</v>
      </c>
      <c r="G170" s="2" t="s">
        <v>59</v>
      </c>
      <c r="H170" s="2" t="s">
        <v>289</v>
      </c>
      <c r="I170" s="2" t="str">
        <f aca="false">IF(EXACT(B170,D170),"No","Yes")</f>
        <v>Yes</v>
      </c>
    </row>
    <row r="171" customFormat="false" ht="15" hidden="false" customHeight="false" outlineLevel="0" collapsed="false">
      <c r="A171" s="2" t="n">
        <v>57</v>
      </c>
      <c r="B171" s="2" t="s">
        <v>287</v>
      </c>
      <c r="C171" s="2" t="s">
        <v>421</v>
      </c>
      <c r="D171" s="2" t="s">
        <v>287</v>
      </c>
      <c r="E171" s="2" t="s">
        <v>80</v>
      </c>
      <c r="F171" s="2" t="s">
        <v>72</v>
      </c>
      <c r="G171" s="2" t="s">
        <v>90</v>
      </c>
      <c r="H171" s="2" t="s">
        <v>281</v>
      </c>
      <c r="I171" s="2" t="str">
        <f aca="false">IF(EXACT(B171,D171),"No","Yes")</f>
        <v>No</v>
      </c>
    </row>
    <row r="172" customFormat="false" ht="15" hidden="false" customHeight="false" outlineLevel="0" collapsed="false">
      <c r="A172" s="2" t="n">
        <v>57</v>
      </c>
      <c r="B172" s="2" t="s">
        <v>287</v>
      </c>
      <c r="C172" s="2" t="s">
        <v>422</v>
      </c>
      <c r="D172" s="2" t="s">
        <v>287</v>
      </c>
      <c r="E172" s="2" t="s">
        <v>71</v>
      </c>
      <c r="F172" s="2" t="s">
        <v>72</v>
      </c>
      <c r="G172" s="2" t="s">
        <v>74</v>
      </c>
      <c r="H172" s="2" t="s">
        <v>290</v>
      </c>
      <c r="I172" s="2" t="str">
        <f aca="false">IF(EXACT(B172,D172),"No","Yes")</f>
        <v>No</v>
      </c>
    </row>
    <row r="173" customFormat="false" ht="15" hidden="false" customHeight="false" outlineLevel="0" collapsed="false">
      <c r="A173" s="2" t="n">
        <v>58</v>
      </c>
      <c r="B173" s="2" t="s">
        <v>291</v>
      </c>
      <c r="C173" s="2" t="s">
        <v>420</v>
      </c>
      <c r="D173" s="2" t="s">
        <v>291</v>
      </c>
      <c r="E173" s="2" t="s">
        <v>57</v>
      </c>
      <c r="F173" s="2" t="s">
        <v>58</v>
      </c>
      <c r="G173" s="2" t="s">
        <v>66</v>
      </c>
      <c r="H173" s="2" t="s">
        <v>292</v>
      </c>
      <c r="I173" s="2" t="str">
        <f aca="false">IF(EXACT(B173,D173),"No","Yes")</f>
        <v>No</v>
      </c>
    </row>
    <row r="174" customFormat="false" ht="15" hidden="false" customHeight="false" outlineLevel="0" collapsed="false">
      <c r="A174" s="2" t="n">
        <v>58</v>
      </c>
      <c r="B174" s="2" t="s">
        <v>291</v>
      </c>
      <c r="C174" s="2" t="s">
        <v>421</v>
      </c>
      <c r="D174" s="2" t="s">
        <v>291</v>
      </c>
      <c r="E174" s="2" t="s">
        <v>57</v>
      </c>
      <c r="F174" s="2" t="s">
        <v>58</v>
      </c>
      <c r="G174" s="2" t="s">
        <v>66</v>
      </c>
      <c r="H174" s="2" t="s">
        <v>293</v>
      </c>
      <c r="I174" s="2" t="str">
        <f aca="false">IF(EXACT(B174,D174),"No","Yes")</f>
        <v>No</v>
      </c>
    </row>
    <row r="175" customFormat="false" ht="15" hidden="false" customHeight="false" outlineLevel="0" collapsed="false">
      <c r="A175" s="2" t="n">
        <v>58</v>
      </c>
      <c r="B175" s="2" t="s">
        <v>291</v>
      </c>
      <c r="C175" s="2" t="s">
        <v>422</v>
      </c>
      <c r="D175" s="2" t="s">
        <v>291</v>
      </c>
      <c r="E175" s="2" t="s">
        <v>71</v>
      </c>
      <c r="F175" s="2" t="s">
        <v>114</v>
      </c>
      <c r="G175" s="2" t="s">
        <v>66</v>
      </c>
      <c r="H175" s="2" t="s">
        <v>294</v>
      </c>
      <c r="I175" s="2" t="str">
        <f aca="false">IF(EXACT(B175,D175),"No","Yes")</f>
        <v>No</v>
      </c>
    </row>
    <row r="176" customFormat="false" ht="15" hidden="false" customHeight="false" outlineLevel="0" collapsed="false">
      <c r="A176" s="2" t="n">
        <v>59</v>
      </c>
      <c r="B176" s="2" t="s">
        <v>295</v>
      </c>
      <c r="C176" s="2" t="s">
        <v>420</v>
      </c>
      <c r="D176" s="2" t="s">
        <v>295</v>
      </c>
      <c r="E176" s="2" t="s">
        <v>57</v>
      </c>
      <c r="F176" s="2" t="s">
        <v>58</v>
      </c>
      <c r="G176" s="2" t="s">
        <v>61</v>
      </c>
      <c r="H176" s="2" t="s">
        <v>296</v>
      </c>
      <c r="I176" s="2" t="str">
        <f aca="false">IF(EXACT(B176,D176),"No","Yes")</f>
        <v>No</v>
      </c>
    </row>
    <row r="177" customFormat="false" ht="15" hidden="false" customHeight="false" outlineLevel="0" collapsed="false">
      <c r="A177" s="2" t="n">
        <v>59</v>
      </c>
      <c r="B177" s="2" t="s">
        <v>295</v>
      </c>
      <c r="C177" s="2" t="s">
        <v>421</v>
      </c>
      <c r="D177" s="2" t="s">
        <v>295</v>
      </c>
      <c r="E177" s="2" t="s">
        <v>57</v>
      </c>
      <c r="F177" s="2" t="s">
        <v>58</v>
      </c>
      <c r="G177" s="2" t="s">
        <v>60</v>
      </c>
      <c r="H177" s="2" t="s">
        <v>297</v>
      </c>
      <c r="I177" s="2" t="str">
        <f aca="false">IF(EXACT(B177,D177),"No","Yes")</f>
        <v>No</v>
      </c>
    </row>
    <row r="178" customFormat="false" ht="15" hidden="false" customHeight="false" outlineLevel="0" collapsed="false">
      <c r="A178" s="2" t="n">
        <v>59</v>
      </c>
      <c r="B178" s="2" t="s">
        <v>295</v>
      </c>
      <c r="C178" s="2" t="s">
        <v>422</v>
      </c>
      <c r="D178" s="2" t="s">
        <v>295</v>
      </c>
      <c r="E178" s="2" t="s">
        <v>71</v>
      </c>
      <c r="F178" s="2" t="s">
        <v>58</v>
      </c>
      <c r="G178" s="2" t="s">
        <v>61</v>
      </c>
      <c r="H178" s="2" t="s">
        <v>298</v>
      </c>
      <c r="I178" s="2" t="str">
        <f aca="false">IF(EXACT(B178,D178),"No","Yes")</f>
        <v>No</v>
      </c>
    </row>
    <row r="179" customFormat="false" ht="15" hidden="false" customHeight="false" outlineLevel="0" collapsed="false">
      <c r="A179" s="2" t="n">
        <v>60</v>
      </c>
      <c r="B179" s="2" t="s">
        <v>299</v>
      </c>
      <c r="C179" s="2" t="s">
        <v>420</v>
      </c>
      <c r="D179" s="2" t="s">
        <v>299</v>
      </c>
      <c r="E179" s="2" t="s">
        <v>57</v>
      </c>
      <c r="F179" s="2" t="s">
        <v>58</v>
      </c>
      <c r="G179" s="2" t="s">
        <v>66</v>
      </c>
      <c r="H179" s="2" t="s">
        <v>300</v>
      </c>
      <c r="I179" s="2" t="str">
        <f aca="false">IF(EXACT(B179,D179),"No","Yes")</f>
        <v>No</v>
      </c>
    </row>
    <row r="180" customFormat="false" ht="15" hidden="false" customHeight="false" outlineLevel="0" collapsed="false">
      <c r="A180" s="2" t="n">
        <v>60</v>
      </c>
      <c r="B180" s="2" t="s">
        <v>299</v>
      </c>
      <c r="C180" s="2" t="s">
        <v>421</v>
      </c>
      <c r="D180" s="2" t="s">
        <v>299</v>
      </c>
      <c r="E180" s="2" t="s">
        <v>57</v>
      </c>
      <c r="F180" s="2" t="s">
        <v>150</v>
      </c>
      <c r="G180" s="2" t="s">
        <v>151</v>
      </c>
      <c r="H180" s="2" t="s">
        <v>301</v>
      </c>
      <c r="I180" s="2" t="str">
        <f aca="false">IF(EXACT(B180,D180),"No","Yes")</f>
        <v>No</v>
      </c>
    </row>
    <row r="181" customFormat="false" ht="15" hidden="false" customHeight="false" outlineLevel="0" collapsed="false">
      <c r="A181" s="2" t="n">
        <v>60</v>
      </c>
      <c r="B181" s="2" t="s">
        <v>299</v>
      </c>
      <c r="C181" s="2" t="s">
        <v>422</v>
      </c>
      <c r="D181" s="2" t="s">
        <v>299</v>
      </c>
      <c r="E181" s="2" t="s">
        <v>57</v>
      </c>
      <c r="F181" s="2" t="s">
        <v>72</v>
      </c>
      <c r="G181" s="2" t="s">
        <v>74</v>
      </c>
      <c r="H181" s="2" t="s">
        <v>302</v>
      </c>
      <c r="I181" s="2" t="str">
        <f aca="false">IF(EXACT(B181,D181),"No","Yes")</f>
        <v>No</v>
      </c>
    </row>
    <row r="182" customFormat="false" ht="15" hidden="false" customHeight="false" outlineLevel="0" collapsed="false">
      <c r="A182" s="2" t="n">
        <v>61</v>
      </c>
      <c r="B182" s="2" t="s">
        <v>303</v>
      </c>
      <c r="C182" s="2" t="s">
        <v>420</v>
      </c>
      <c r="D182" s="2" t="s">
        <v>303</v>
      </c>
      <c r="E182" s="2" t="s">
        <v>71</v>
      </c>
      <c r="F182" s="2" t="s">
        <v>88</v>
      </c>
      <c r="G182" s="2" t="s">
        <v>89</v>
      </c>
      <c r="H182" s="2" t="s">
        <v>91</v>
      </c>
      <c r="I182" s="2" t="str">
        <f aca="false">IF(EXACT(B182,D182),"No","Yes")</f>
        <v>No</v>
      </c>
    </row>
    <row r="183" customFormat="false" ht="15" hidden="false" customHeight="false" outlineLevel="0" collapsed="false">
      <c r="A183" s="2" t="n">
        <v>61</v>
      </c>
      <c r="B183" s="2" t="s">
        <v>303</v>
      </c>
      <c r="C183" s="2" t="s">
        <v>421</v>
      </c>
      <c r="D183" s="2" t="s">
        <v>303</v>
      </c>
      <c r="E183" s="2" t="s">
        <v>57</v>
      </c>
      <c r="F183" s="2" t="s">
        <v>58</v>
      </c>
      <c r="G183" s="2" t="s">
        <v>61</v>
      </c>
      <c r="H183" s="2" t="s">
        <v>305</v>
      </c>
      <c r="I183" s="2" t="str">
        <f aca="false">IF(EXACT(B183,D183),"No","Yes")</f>
        <v>No</v>
      </c>
    </row>
    <row r="184" customFormat="false" ht="15" hidden="false" customHeight="false" outlineLevel="0" collapsed="false">
      <c r="A184" s="2" t="n">
        <v>61</v>
      </c>
      <c r="B184" s="2" t="s">
        <v>303</v>
      </c>
      <c r="C184" s="2" t="s">
        <v>422</v>
      </c>
      <c r="D184" s="2" t="s">
        <v>304</v>
      </c>
      <c r="E184" s="2" t="s">
        <v>56</v>
      </c>
      <c r="F184" s="2" t="s">
        <v>72</v>
      </c>
      <c r="G184" s="2" t="s">
        <v>81</v>
      </c>
      <c r="H184" s="2" t="s">
        <v>306</v>
      </c>
      <c r="I184" s="2" t="str">
        <f aca="false">IF(EXACT(B184,D184),"No","Yes")</f>
        <v>Yes</v>
      </c>
    </row>
    <row r="185" customFormat="false" ht="15" hidden="false" customHeight="false" outlineLevel="0" collapsed="false">
      <c r="A185" s="2" t="n">
        <v>62</v>
      </c>
      <c r="B185" s="2" t="s">
        <v>307</v>
      </c>
      <c r="C185" s="2" t="s">
        <v>420</v>
      </c>
      <c r="D185" s="2" t="s">
        <v>308</v>
      </c>
      <c r="E185" s="2" t="s">
        <v>56</v>
      </c>
      <c r="F185" s="2" t="s">
        <v>58</v>
      </c>
      <c r="G185" s="2" t="s">
        <v>59</v>
      </c>
      <c r="H185" s="2" t="s">
        <v>309</v>
      </c>
      <c r="I185" s="2" t="str">
        <f aca="false">IF(EXACT(B185,D185),"No","Yes")</f>
        <v>Yes</v>
      </c>
    </row>
    <row r="186" customFormat="false" ht="15" hidden="false" customHeight="false" outlineLevel="0" collapsed="false">
      <c r="A186" s="2" t="n">
        <v>62</v>
      </c>
      <c r="B186" s="2" t="s">
        <v>307</v>
      </c>
      <c r="C186" s="2" t="s">
        <v>421</v>
      </c>
      <c r="D186" s="2" t="s">
        <v>307</v>
      </c>
      <c r="E186" s="2" t="s">
        <v>57</v>
      </c>
      <c r="F186" s="2" t="s">
        <v>58</v>
      </c>
      <c r="G186" s="2" t="s">
        <v>60</v>
      </c>
      <c r="H186" s="2" t="s">
        <v>310</v>
      </c>
      <c r="I186" s="2" t="str">
        <f aca="false">IF(EXACT(B186,D186),"No","Yes")</f>
        <v>No</v>
      </c>
    </row>
    <row r="187" customFormat="false" ht="15" hidden="false" customHeight="false" outlineLevel="0" collapsed="false">
      <c r="A187" s="2" t="n">
        <v>62</v>
      </c>
      <c r="B187" s="2" t="s">
        <v>307</v>
      </c>
      <c r="C187" s="2" t="s">
        <v>422</v>
      </c>
      <c r="D187" s="2" t="s">
        <v>307</v>
      </c>
      <c r="E187" s="2" t="s">
        <v>57</v>
      </c>
      <c r="F187" s="2" t="s">
        <v>73</v>
      </c>
      <c r="G187" s="2" t="s">
        <v>75</v>
      </c>
      <c r="H187" s="2" t="s">
        <v>311</v>
      </c>
      <c r="I187" s="2" t="str">
        <f aca="false">IF(EXACT(B187,D187),"No","Yes")</f>
        <v>No</v>
      </c>
    </row>
    <row r="188" customFormat="false" ht="15" hidden="false" customHeight="false" outlineLevel="0" collapsed="false">
      <c r="A188" s="2" t="n">
        <v>63</v>
      </c>
      <c r="B188" s="2" t="s">
        <v>312</v>
      </c>
      <c r="C188" s="2" t="s">
        <v>420</v>
      </c>
      <c r="D188" s="2" t="s">
        <v>313</v>
      </c>
      <c r="E188" s="2" t="s">
        <v>56</v>
      </c>
      <c r="F188" s="2" t="s">
        <v>72</v>
      </c>
      <c r="G188" s="2" t="s">
        <v>59</v>
      </c>
      <c r="H188" s="2" t="s">
        <v>315</v>
      </c>
      <c r="I188" s="2" t="str">
        <f aca="false">IF(EXACT(B188,D188),"No","Yes")</f>
        <v>Yes</v>
      </c>
    </row>
    <row r="189" customFormat="false" ht="15" hidden="false" customHeight="false" outlineLevel="0" collapsed="false">
      <c r="A189" s="2" t="n">
        <v>63</v>
      </c>
      <c r="B189" s="2" t="s">
        <v>312</v>
      </c>
      <c r="C189" s="2" t="s">
        <v>421</v>
      </c>
      <c r="D189" s="2" t="s">
        <v>314</v>
      </c>
      <c r="E189" s="2" t="s">
        <v>56</v>
      </c>
      <c r="F189" s="2" t="s">
        <v>73</v>
      </c>
      <c r="G189" s="2" t="s">
        <v>59</v>
      </c>
      <c r="H189" s="2" t="s">
        <v>311</v>
      </c>
      <c r="I189" s="2" t="str">
        <f aca="false">IF(EXACT(B189,D189),"No","Yes")</f>
        <v>Yes</v>
      </c>
    </row>
    <row r="190" customFormat="false" ht="15" hidden="false" customHeight="false" outlineLevel="0" collapsed="false">
      <c r="A190" s="2" t="n">
        <v>63</v>
      </c>
      <c r="B190" s="2" t="s">
        <v>312</v>
      </c>
      <c r="C190" s="2" t="s">
        <v>422</v>
      </c>
      <c r="D190" s="2" t="s">
        <v>312</v>
      </c>
      <c r="E190" s="2" t="s">
        <v>71</v>
      </c>
      <c r="F190" s="2" t="s">
        <v>73</v>
      </c>
      <c r="G190" s="2" t="s">
        <v>75</v>
      </c>
      <c r="H190" s="2" t="s">
        <v>311</v>
      </c>
      <c r="I190" s="2" t="str">
        <f aca="false">IF(EXACT(B190,D190),"No","Yes")</f>
        <v>No</v>
      </c>
    </row>
    <row r="191" customFormat="false" ht="15" hidden="false" customHeight="false" outlineLevel="0" collapsed="false">
      <c r="A191" s="2" t="n">
        <v>64</v>
      </c>
      <c r="B191" s="2" t="s">
        <v>316</v>
      </c>
      <c r="C191" s="2" t="s">
        <v>420</v>
      </c>
      <c r="D191" s="2" t="s">
        <v>316</v>
      </c>
      <c r="E191" s="2" t="s">
        <v>57</v>
      </c>
      <c r="F191" s="2" t="s">
        <v>58</v>
      </c>
      <c r="G191" s="2" t="s">
        <v>61</v>
      </c>
      <c r="H191" s="2" t="s">
        <v>317</v>
      </c>
      <c r="I191" s="2" t="str">
        <f aca="false">IF(EXACT(B191,D191),"No","Yes")</f>
        <v>No</v>
      </c>
    </row>
    <row r="192" customFormat="false" ht="15" hidden="false" customHeight="false" outlineLevel="0" collapsed="false">
      <c r="A192" s="2" t="n">
        <v>64</v>
      </c>
      <c r="B192" s="2" t="s">
        <v>316</v>
      </c>
      <c r="C192" s="2" t="s">
        <v>421</v>
      </c>
      <c r="D192" s="2" t="s">
        <v>316</v>
      </c>
      <c r="E192" s="2" t="s">
        <v>57</v>
      </c>
      <c r="F192" s="2" t="s">
        <v>58</v>
      </c>
      <c r="G192" s="2" t="s">
        <v>60</v>
      </c>
      <c r="H192" s="2" t="s">
        <v>318</v>
      </c>
      <c r="I192" s="2" t="str">
        <f aca="false">IF(EXACT(B192,D192),"No","Yes")</f>
        <v>No</v>
      </c>
    </row>
    <row r="193" customFormat="false" ht="15" hidden="false" customHeight="false" outlineLevel="0" collapsed="false">
      <c r="A193" s="2" t="n">
        <v>64</v>
      </c>
      <c r="B193" s="2" t="s">
        <v>316</v>
      </c>
      <c r="C193" s="2" t="s">
        <v>422</v>
      </c>
      <c r="D193" s="2" t="s">
        <v>316</v>
      </c>
      <c r="E193" s="2" t="s">
        <v>57</v>
      </c>
      <c r="F193" s="2" t="s">
        <v>72</v>
      </c>
      <c r="G193" s="2" t="s">
        <v>74</v>
      </c>
      <c r="H193" s="2" t="s">
        <v>219</v>
      </c>
      <c r="I193" s="2" t="str">
        <f aca="false">IF(EXACT(B193,D193),"No","Yes")</f>
        <v>No</v>
      </c>
    </row>
    <row r="194" customFormat="false" ht="15" hidden="false" customHeight="false" outlineLevel="0" collapsed="false">
      <c r="A194" s="2" t="n">
        <v>65</v>
      </c>
      <c r="B194" s="2" t="s">
        <v>319</v>
      </c>
      <c r="C194" s="2" t="s">
        <v>420</v>
      </c>
      <c r="D194" s="2" t="s">
        <v>319</v>
      </c>
      <c r="E194" s="2" t="s">
        <v>57</v>
      </c>
      <c r="F194" s="2" t="s">
        <v>58</v>
      </c>
      <c r="G194" s="2" t="s">
        <v>66</v>
      </c>
      <c r="H194" s="2" t="s">
        <v>320</v>
      </c>
      <c r="I194" s="2" t="str">
        <f aca="false">IF(EXACT(B194,D194),"No","Yes")</f>
        <v>No</v>
      </c>
    </row>
    <row r="195" customFormat="false" ht="15" hidden="false" customHeight="false" outlineLevel="0" collapsed="false">
      <c r="A195" s="2" t="n">
        <v>65</v>
      </c>
      <c r="B195" s="2" t="s">
        <v>319</v>
      </c>
      <c r="C195" s="2" t="s">
        <v>421</v>
      </c>
      <c r="D195" s="2" t="s">
        <v>319</v>
      </c>
      <c r="E195" s="2" t="s">
        <v>57</v>
      </c>
      <c r="F195" s="2" t="s">
        <v>58</v>
      </c>
      <c r="G195" s="2" t="s">
        <v>66</v>
      </c>
      <c r="H195" s="2" t="s">
        <v>321</v>
      </c>
      <c r="I195" s="2" t="str">
        <f aca="false">IF(EXACT(B195,D195),"No","Yes")</f>
        <v>No</v>
      </c>
    </row>
    <row r="196" customFormat="false" ht="15" hidden="false" customHeight="false" outlineLevel="0" collapsed="false">
      <c r="A196" s="2" t="n">
        <v>65</v>
      </c>
      <c r="B196" s="2" t="s">
        <v>319</v>
      </c>
      <c r="C196" s="2" t="s">
        <v>422</v>
      </c>
      <c r="D196" s="2" t="s">
        <v>319</v>
      </c>
      <c r="E196" s="2" t="s">
        <v>71</v>
      </c>
      <c r="F196" s="2" t="s">
        <v>114</v>
      </c>
      <c r="G196" s="2" t="s">
        <v>66</v>
      </c>
      <c r="H196" s="2" t="s">
        <v>322</v>
      </c>
      <c r="I196" s="2" t="str">
        <f aca="false">IF(EXACT(B196,D196),"No","Yes")</f>
        <v>No</v>
      </c>
    </row>
    <row r="197" customFormat="false" ht="15" hidden="false" customHeight="false" outlineLevel="0" collapsed="false">
      <c r="A197" s="2" t="n">
        <v>66</v>
      </c>
      <c r="B197" s="2" t="s">
        <v>323</v>
      </c>
      <c r="C197" s="2" t="s">
        <v>420</v>
      </c>
      <c r="D197" s="2" t="s">
        <v>323</v>
      </c>
      <c r="E197" s="2" t="s">
        <v>57</v>
      </c>
      <c r="F197" s="2" t="s">
        <v>58</v>
      </c>
      <c r="G197" s="2" t="s">
        <v>66</v>
      </c>
      <c r="H197" s="2" t="s">
        <v>324</v>
      </c>
      <c r="I197" s="2" t="str">
        <f aca="false">IF(EXACT(B197,D197),"No","Yes")</f>
        <v>No</v>
      </c>
    </row>
    <row r="198" customFormat="false" ht="15" hidden="false" customHeight="false" outlineLevel="0" collapsed="false">
      <c r="A198" s="2" t="n">
        <v>66</v>
      </c>
      <c r="B198" s="2" t="s">
        <v>323</v>
      </c>
      <c r="C198" s="2" t="s">
        <v>421</v>
      </c>
      <c r="D198" s="2" t="s">
        <v>323</v>
      </c>
      <c r="E198" s="2" t="s">
        <v>57</v>
      </c>
      <c r="F198" s="2" t="s">
        <v>58</v>
      </c>
      <c r="G198" s="2" t="s">
        <v>66</v>
      </c>
      <c r="H198" s="2" t="s">
        <v>325</v>
      </c>
      <c r="I198" s="2" t="str">
        <f aca="false">IF(EXACT(B198,D198),"No","Yes")</f>
        <v>No</v>
      </c>
    </row>
    <row r="199" customFormat="false" ht="15" hidden="false" customHeight="false" outlineLevel="0" collapsed="false">
      <c r="A199" s="2" t="n">
        <v>66</v>
      </c>
      <c r="B199" s="2" t="s">
        <v>323</v>
      </c>
      <c r="C199" s="2" t="s">
        <v>422</v>
      </c>
      <c r="D199" s="2" t="s">
        <v>323</v>
      </c>
      <c r="E199" s="2" t="s">
        <v>71</v>
      </c>
      <c r="F199" s="2" t="s">
        <v>58</v>
      </c>
      <c r="G199" s="2" t="s">
        <v>61</v>
      </c>
      <c r="H199" s="2" t="s">
        <v>326</v>
      </c>
      <c r="I199" s="2" t="str">
        <f aca="false">IF(EXACT(B199,D199),"No","Yes")</f>
        <v>No</v>
      </c>
    </row>
    <row r="200" customFormat="false" ht="15" hidden="false" customHeight="false" outlineLevel="0" collapsed="false">
      <c r="A200" s="2" t="n">
        <v>67</v>
      </c>
      <c r="B200" s="2" t="s">
        <v>327</v>
      </c>
      <c r="C200" s="2" t="s">
        <v>420</v>
      </c>
      <c r="D200" s="2" t="s">
        <v>327</v>
      </c>
      <c r="E200" s="2" t="s">
        <v>57</v>
      </c>
      <c r="F200" s="2" t="s">
        <v>150</v>
      </c>
      <c r="G200" s="2" t="s">
        <v>151</v>
      </c>
      <c r="H200" s="2" t="s">
        <v>328</v>
      </c>
      <c r="I200" s="2" t="str">
        <f aca="false">IF(EXACT(B200,D200),"No","Yes")</f>
        <v>No</v>
      </c>
    </row>
    <row r="201" customFormat="false" ht="15" hidden="false" customHeight="false" outlineLevel="0" collapsed="false">
      <c r="A201" s="2" t="n">
        <v>67</v>
      </c>
      <c r="B201" s="2" t="s">
        <v>327</v>
      </c>
      <c r="C201" s="2" t="s">
        <v>421</v>
      </c>
      <c r="D201" s="2" t="s">
        <v>327</v>
      </c>
      <c r="E201" s="2" t="s">
        <v>57</v>
      </c>
      <c r="F201" s="2" t="s">
        <v>150</v>
      </c>
      <c r="G201" s="2" t="s">
        <v>151</v>
      </c>
      <c r="H201" s="2" t="s">
        <v>329</v>
      </c>
      <c r="I201" s="2" t="str">
        <f aca="false">IF(EXACT(B201,D201),"No","Yes")</f>
        <v>No</v>
      </c>
    </row>
    <row r="202" customFormat="false" ht="15" hidden="false" customHeight="false" outlineLevel="0" collapsed="false">
      <c r="A202" s="2" t="n">
        <v>67</v>
      </c>
      <c r="B202" s="2" t="s">
        <v>327</v>
      </c>
      <c r="C202" s="2" t="s">
        <v>422</v>
      </c>
      <c r="D202" s="2" t="s">
        <v>327</v>
      </c>
      <c r="E202" s="2" t="s">
        <v>57</v>
      </c>
      <c r="F202" s="2" t="s">
        <v>72</v>
      </c>
      <c r="G202" s="2" t="s">
        <v>74</v>
      </c>
      <c r="H202" s="2" t="s">
        <v>330</v>
      </c>
      <c r="I202" s="2" t="str">
        <f aca="false">IF(EXACT(B202,D202),"No","Yes")</f>
        <v>No</v>
      </c>
    </row>
    <row r="203" customFormat="false" ht="15" hidden="false" customHeight="false" outlineLevel="0" collapsed="false">
      <c r="A203" s="2" t="n">
        <v>68</v>
      </c>
      <c r="B203" s="2" t="s">
        <v>331</v>
      </c>
      <c r="C203" s="2" t="s">
        <v>420</v>
      </c>
      <c r="D203" s="2" t="s">
        <v>331</v>
      </c>
      <c r="E203" s="2" t="s">
        <v>57</v>
      </c>
      <c r="F203" s="2" t="s">
        <v>72</v>
      </c>
      <c r="G203" s="2" t="s">
        <v>74</v>
      </c>
      <c r="H203" s="2" t="s">
        <v>333</v>
      </c>
      <c r="I203" s="2" t="str">
        <f aca="false">IF(EXACT(B203,D203),"No","Yes")</f>
        <v>No</v>
      </c>
    </row>
    <row r="204" customFormat="false" ht="15" hidden="false" customHeight="false" outlineLevel="0" collapsed="false">
      <c r="A204" s="2" t="n">
        <v>68</v>
      </c>
      <c r="B204" s="2" t="s">
        <v>331</v>
      </c>
      <c r="C204" s="2" t="s">
        <v>421</v>
      </c>
      <c r="D204" s="2" t="s">
        <v>332</v>
      </c>
      <c r="E204" s="2" t="s">
        <v>56</v>
      </c>
      <c r="F204" s="2" t="s">
        <v>150</v>
      </c>
      <c r="G204" s="2" t="s">
        <v>151</v>
      </c>
      <c r="H204" s="2" t="s">
        <v>329</v>
      </c>
      <c r="I204" s="2" t="str">
        <f aca="false">IF(EXACT(B204,D204),"No","Yes")</f>
        <v>Yes</v>
      </c>
    </row>
    <row r="205" customFormat="false" ht="15" hidden="false" customHeight="false" outlineLevel="0" collapsed="false">
      <c r="A205" s="2" t="n">
        <v>68</v>
      </c>
      <c r="B205" s="2" t="s">
        <v>331</v>
      </c>
      <c r="C205" s="2" t="s">
        <v>422</v>
      </c>
      <c r="D205" s="2" t="s">
        <v>331</v>
      </c>
      <c r="E205" s="2" t="s">
        <v>57</v>
      </c>
      <c r="F205" s="2" t="s">
        <v>72</v>
      </c>
      <c r="G205" s="2" t="s">
        <v>74</v>
      </c>
      <c r="H205" s="2" t="s">
        <v>330</v>
      </c>
      <c r="I205" s="2" t="str">
        <f aca="false">IF(EXACT(B205,D205),"No","Yes")</f>
        <v>No</v>
      </c>
    </row>
    <row r="206" customFormat="false" ht="15" hidden="false" customHeight="false" outlineLevel="0" collapsed="false">
      <c r="A206" s="2" t="n">
        <v>69</v>
      </c>
      <c r="B206" s="2" t="s">
        <v>334</v>
      </c>
      <c r="C206" s="2" t="s">
        <v>420</v>
      </c>
      <c r="D206" s="2" t="s">
        <v>335</v>
      </c>
      <c r="E206" s="2" t="s">
        <v>56</v>
      </c>
      <c r="F206" s="2" t="s">
        <v>58</v>
      </c>
      <c r="G206" s="2" t="s">
        <v>59</v>
      </c>
      <c r="H206" s="2" t="s">
        <v>337</v>
      </c>
      <c r="I206" s="2" t="str">
        <f aca="false">IF(EXACT(B206,D206),"No","Yes")</f>
        <v>Yes</v>
      </c>
    </row>
    <row r="207" customFormat="false" ht="15" hidden="false" customHeight="false" outlineLevel="0" collapsed="false">
      <c r="A207" s="2" t="n">
        <v>69</v>
      </c>
      <c r="B207" s="2" t="s">
        <v>334</v>
      </c>
      <c r="C207" s="2" t="s">
        <v>421</v>
      </c>
      <c r="D207" s="2" t="s">
        <v>336</v>
      </c>
      <c r="E207" s="2" t="s">
        <v>56</v>
      </c>
      <c r="F207" s="2" t="s">
        <v>58</v>
      </c>
      <c r="G207" s="2" t="s">
        <v>59</v>
      </c>
      <c r="H207" s="2" t="s">
        <v>338</v>
      </c>
      <c r="I207" s="2" t="str">
        <f aca="false">IF(EXACT(B207,D207),"No","Yes")</f>
        <v>Yes</v>
      </c>
    </row>
    <row r="208" customFormat="false" ht="15" hidden="false" customHeight="false" outlineLevel="0" collapsed="false">
      <c r="A208" s="2" t="n">
        <v>69</v>
      </c>
      <c r="B208" s="2" t="s">
        <v>334</v>
      </c>
      <c r="C208" s="2" t="s">
        <v>422</v>
      </c>
      <c r="D208" s="2" t="s">
        <v>334</v>
      </c>
      <c r="E208" s="2" t="s">
        <v>57</v>
      </c>
      <c r="F208" s="2" t="s">
        <v>72</v>
      </c>
      <c r="G208" s="2" t="s">
        <v>74</v>
      </c>
      <c r="H208" s="2" t="s">
        <v>219</v>
      </c>
      <c r="I208" s="2" t="str">
        <f aca="false">IF(EXACT(B208,D208),"No","Yes")</f>
        <v>No</v>
      </c>
    </row>
    <row r="209" customFormat="false" ht="15" hidden="false" customHeight="false" outlineLevel="0" collapsed="false">
      <c r="A209" s="2" t="n">
        <v>70</v>
      </c>
      <c r="B209" s="2" t="s">
        <v>339</v>
      </c>
      <c r="C209" s="2" t="s">
        <v>420</v>
      </c>
      <c r="D209" s="2" t="s">
        <v>339</v>
      </c>
      <c r="E209" s="2" t="s">
        <v>71</v>
      </c>
      <c r="F209" s="2" t="s">
        <v>73</v>
      </c>
      <c r="G209" s="2" t="s">
        <v>75</v>
      </c>
      <c r="H209" s="2" t="s">
        <v>340</v>
      </c>
      <c r="I209" s="2" t="str">
        <f aca="false">IF(EXACT(B209,D209),"No","Yes")</f>
        <v>No</v>
      </c>
    </row>
    <row r="210" customFormat="false" ht="15" hidden="false" customHeight="false" outlineLevel="0" collapsed="false">
      <c r="A210" s="2" t="n">
        <v>70</v>
      </c>
      <c r="B210" s="2" t="s">
        <v>339</v>
      </c>
      <c r="C210" s="2" t="s">
        <v>421</v>
      </c>
      <c r="D210" s="2" t="s">
        <v>339</v>
      </c>
      <c r="E210" s="2" t="s">
        <v>71</v>
      </c>
      <c r="F210" s="2" t="s">
        <v>73</v>
      </c>
      <c r="G210" s="2" t="s">
        <v>75</v>
      </c>
      <c r="H210" s="2" t="s">
        <v>341</v>
      </c>
      <c r="I210" s="2" t="str">
        <f aca="false">IF(EXACT(B210,D210),"No","Yes")</f>
        <v>No</v>
      </c>
    </row>
    <row r="211" customFormat="false" ht="15" hidden="false" customHeight="false" outlineLevel="0" collapsed="false">
      <c r="A211" s="2" t="n">
        <v>70</v>
      </c>
      <c r="B211" s="2" t="s">
        <v>339</v>
      </c>
      <c r="C211" s="2" t="s">
        <v>422</v>
      </c>
      <c r="D211" s="2" t="s">
        <v>339</v>
      </c>
      <c r="E211" s="2" t="s">
        <v>71</v>
      </c>
      <c r="F211" s="2" t="s">
        <v>72</v>
      </c>
      <c r="G211" s="2" t="s">
        <v>74</v>
      </c>
      <c r="H211" s="2" t="s">
        <v>342</v>
      </c>
      <c r="I211" s="2" t="str">
        <f aca="false">IF(EXACT(B211,D211),"No","Yes")</f>
        <v>No</v>
      </c>
    </row>
    <row r="212" customFormat="false" ht="15" hidden="false" customHeight="false" outlineLevel="0" collapsed="false">
      <c r="A212" s="2" t="n">
        <v>71</v>
      </c>
      <c r="B212" s="2" t="s">
        <v>343</v>
      </c>
      <c r="C212" s="2" t="s">
        <v>420</v>
      </c>
      <c r="D212" s="2" t="s">
        <v>343</v>
      </c>
      <c r="E212" s="2" t="s">
        <v>57</v>
      </c>
      <c r="F212" s="2" t="s">
        <v>73</v>
      </c>
      <c r="G212" s="2" t="s">
        <v>75</v>
      </c>
      <c r="H212" s="2" t="s">
        <v>344</v>
      </c>
      <c r="I212" s="2" t="str">
        <f aca="false">IF(EXACT(B212,D212),"No","Yes")</f>
        <v>No</v>
      </c>
    </row>
    <row r="213" customFormat="false" ht="15" hidden="false" customHeight="false" outlineLevel="0" collapsed="false">
      <c r="A213" s="2" t="n">
        <v>71</v>
      </c>
      <c r="B213" s="2" t="s">
        <v>343</v>
      </c>
      <c r="C213" s="2" t="s">
        <v>421</v>
      </c>
      <c r="D213" s="2" t="s">
        <v>343</v>
      </c>
      <c r="E213" s="2" t="s">
        <v>57</v>
      </c>
      <c r="F213" s="2" t="s">
        <v>73</v>
      </c>
      <c r="G213" s="2" t="s">
        <v>75</v>
      </c>
      <c r="H213" s="2" t="s">
        <v>345</v>
      </c>
      <c r="I213" s="2" t="str">
        <f aca="false">IF(EXACT(B213,D213),"No","Yes")</f>
        <v>No</v>
      </c>
    </row>
    <row r="214" customFormat="false" ht="15" hidden="false" customHeight="false" outlineLevel="0" collapsed="false">
      <c r="A214" s="2" t="n">
        <v>71</v>
      </c>
      <c r="B214" s="2" t="s">
        <v>343</v>
      </c>
      <c r="C214" s="2" t="s">
        <v>422</v>
      </c>
      <c r="D214" s="2" t="s">
        <v>343</v>
      </c>
      <c r="E214" s="2" t="s">
        <v>57</v>
      </c>
      <c r="F214" s="2" t="s">
        <v>73</v>
      </c>
      <c r="G214" s="2" t="s">
        <v>75</v>
      </c>
      <c r="H214" s="2" t="s">
        <v>346</v>
      </c>
      <c r="I214" s="2" t="str">
        <f aca="false">IF(EXACT(B214,D214),"No","Yes")</f>
        <v>No</v>
      </c>
    </row>
    <row r="215" customFormat="false" ht="15" hidden="false" customHeight="false" outlineLevel="0" collapsed="false">
      <c r="A215" s="2" t="n">
        <v>72</v>
      </c>
      <c r="B215" s="2" t="s">
        <v>347</v>
      </c>
      <c r="C215" s="2" t="s">
        <v>420</v>
      </c>
      <c r="D215" s="2" t="s">
        <v>347</v>
      </c>
      <c r="E215" s="2" t="s">
        <v>57</v>
      </c>
      <c r="F215" s="2" t="s">
        <v>73</v>
      </c>
      <c r="G215" s="2" t="s">
        <v>75</v>
      </c>
      <c r="H215" s="2" t="s">
        <v>348</v>
      </c>
      <c r="I215" s="2" t="str">
        <f aca="false">IF(EXACT(B215,D215),"No","Yes")</f>
        <v>No</v>
      </c>
    </row>
    <row r="216" customFormat="false" ht="15" hidden="false" customHeight="false" outlineLevel="0" collapsed="false">
      <c r="A216" s="2" t="n">
        <v>72</v>
      </c>
      <c r="B216" s="2" t="s">
        <v>347</v>
      </c>
      <c r="C216" s="2" t="s">
        <v>421</v>
      </c>
      <c r="D216" s="2" t="s">
        <v>347</v>
      </c>
      <c r="E216" s="2" t="s">
        <v>57</v>
      </c>
      <c r="F216" s="2" t="s">
        <v>73</v>
      </c>
      <c r="G216" s="2" t="s">
        <v>75</v>
      </c>
      <c r="H216" s="2" t="s">
        <v>137</v>
      </c>
      <c r="I216" s="2" t="str">
        <f aca="false">IF(EXACT(B216,D216),"No","Yes")</f>
        <v>No</v>
      </c>
    </row>
    <row r="217" customFormat="false" ht="15" hidden="false" customHeight="false" outlineLevel="0" collapsed="false">
      <c r="A217" s="2" t="n">
        <v>72</v>
      </c>
      <c r="B217" s="2" t="s">
        <v>347</v>
      </c>
      <c r="C217" s="2" t="s">
        <v>422</v>
      </c>
      <c r="D217" s="2" t="s">
        <v>347</v>
      </c>
      <c r="E217" s="2" t="s">
        <v>57</v>
      </c>
      <c r="F217" s="2" t="s">
        <v>72</v>
      </c>
      <c r="G217" s="2" t="s">
        <v>74</v>
      </c>
      <c r="H217" s="2" t="s">
        <v>234</v>
      </c>
      <c r="I217" s="2" t="str">
        <f aca="false">IF(EXACT(B217,D217),"No","Yes")</f>
        <v>No</v>
      </c>
    </row>
    <row r="218" customFormat="false" ht="15" hidden="false" customHeight="false" outlineLevel="0" collapsed="false">
      <c r="A218" s="2" t="n">
        <v>73</v>
      </c>
      <c r="B218" s="2" t="s">
        <v>349</v>
      </c>
      <c r="C218" s="2" t="s">
        <v>420</v>
      </c>
      <c r="D218" s="2" t="s">
        <v>349</v>
      </c>
      <c r="E218" s="2" t="s">
        <v>71</v>
      </c>
      <c r="F218" s="2" t="s">
        <v>88</v>
      </c>
      <c r="G218" s="2" t="s">
        <v>89</v>
      </c>
      <c r="H218" s="2" t="s">
        <v>350</v>
      </c>
      <c r="I218" s="2" t="str">
        <f aca="false">IF(EXACT(B218,D218),"No","Yes")</f>
        <v>No</v>
      </c>
    </row>
    <row r="219" customFormat="false" ht="15" hidden="false" customHeight="false" outlineLevel="0" collapsed="false">
      <c r="A219" s="2" t="n">
        <v>73</v>
      </c>
      <c r="B219" s="2" t="s">
        <v>349</v>
      </c>
      <c r="C219" s="2" t="s">
        <v>421</v>
      </c>
      <c r="D219" s="2" t="s">
        <v>349</v>
      </c>
      <c r="E219" s="2" t="s">
        <v>71</v>
      </c>
      <c r="F219" s="2" t="s">
        <v>88</v>
      </c>
      <c r="G219" s="2" t="s">
        <v>89</v>
      </c>
      <c r="H219" s="2" t="s">
        <v>91</v>
      </c>
      <c r="I219" s="2" t="str">
        <f aca="false">IF(EXACT(B219,D219),"No","Yes")</f>
        <v>No</v>
      </c>
    </row>
    <row r="220" customFormat="false" ht="15" hidden="false" customHeight="false" outlineLevel="0" collapsed="false">
      <c r="A220" s="2" t="n">
        <v>73</v>
      </c>
      <c r="B220" s="2" t="s">
        <v>349</v>
      </c>
      <c r="C220" s="2" t="s">
        <v>422</v>
      </c>
      <c r="D220" s="2" t="s">
        <v>349</v>
      </c>
      <c r="E220" s="2" t="s">
        <v>71</v>
      </c>
      <c r="F220" s="2" t="s">
        <v>88</v>
      </c>
      <c r="G220" s="2" t="s">
        <v>89</v>
      </c>
      <c r="H220" s="2" t="s">
        <v>91</v>
      </c>
      <c r="I220" s="2" t="str">
        <f aca="false">IF(EXACT(B220,D220),"No","Yes")</f>
        <v>No</v>
      </c>
    </row>
    <row r="221" customFormat="false" ht="15" hidden="false" customHeight="false" outlineLevel="0" collapsed="false">
      <c r="A221" s="2" t="n">
        <v>74</v>
      </c>
      <c r="B221" s="2" t="s">
        <v>351</v>
      </c>
      <c r="C221" s="2" t="s">
        <v>420</v>
      </c>
      <c r="D221" s="2" t="s">
        <v>352</v>
      </c>
      <c r="E221" s="2" t="s">
        <v>56</v>
      </c>
      <c r="F221" s="2" t="s">
        <v>73</v>
      </c>
      <c r="G221" s="2" t="s">
        <v>59</v>
      </c>
      <c r="H221" s="2" t="s">
        <v>353</v>
      </c>
      <c r="I221" s="2" t="str">
        <f aca="false">IF(EXACT(B221,D221),"No","Yes")</f>
        <v>Yes</v>
      </c>
    </row>
    <row r="222" customFormat="false" ht="15" hidden="false" customHeight="false" outlineLevel="0" collapsed="false">
      <c r="A222" s="2" t="n">
        <v>74</v>
      </c>
      <c r="B222" s="2" t="s">
        <v>351</v>
      </c>
      <c r="C222" s="2" t="s">
        <v>421</v>
      </c>
      <c r="D222" s="2" t="s">
        <v>352</v>
      </c>
      <c r="E222" s="2" t="s">
        <v>56</v>
      </c>
      <c r="F222" s="2" t="s">
        <v>73</v>
      </c>
      <c r="G222" s="2" t="s">
        <v>59</v>
      </c>
      <c r="H222" s="2" t="s">
        <v>354</v>
      </c>
      <c r="I222" s="2" t="str">
        <f aca="false">IF(EXACT(B222,D222),"No","Yes")</f>
        <v>Yes</v>
      </c>
    </row>
    <row r="223" customFormat="false" ht="15" hidden="false" customHeight="false" outlineLevel="0" collapsed="false">
      <c r="A223" s="2" t="n">
        <v>74</v>
      </c>
      <c r="B223" s="2" t="s">
        <v>351</v>
      </c>
      <c r="C223" s="2" t="s">
        <v>422</v>
      </c>
      <c r="D223" s="2" t="s">
        <v>351</v>
      </c>
      <c r="E223" s="2" t="s">
        <v>71</v>
      </c>
      <c r="F223" s="2" t="s">
        <v>73</v>
      </c>
      <c r="G223" s="2" t="s">
        <v>75</v>
      </c>
      <c r="H223" s="2" t="s">
        <v>354</v>
      </c>
      <c r="I223" s="2" t="str">
        <f aca="false">IF(EXACT(B223,D223),"No","Yes")</f>
        <v>No</v>
      </c>
    </row>
    <row r="224" customFormat="false" ht="15" hidden="false" customHeight="false" outlineLevel="0" collapsed="false">
      <c r="A224" s="2" t="n">
        <v>75</v>
      </c>
      <c r="B224" s="2" t="s">
        <v>355</v>
      </c>
      <c r="C224" s="2" t="s">
        <v>420</v>
      </c>
      <c r="D224" s="2" t="s">
        <v>355</v>
      </c>
      <c r="E224" s="2" t="s">
        <v>71</v>
      </c>
      <c r="F224" s="2" t="s">
        <v>88</v>
      </c>
      <c r="G224" s="2" t="s">
        <v>89</v>
      </c>
      <c r="H224" s="2" t="s">
        <v>357</v>
      </c>
      <c r="I224" s="2" t="str">
        <f aca="false">IF(EXACT(B224,D224),"No","Yes")</f>
        <v>No</v>
      </c>
    </row>
    <row r="225" customFormat="false" ht="15" hidden="false" customHeight="false" outlineLevel="0" collapsed="false">
      <c r="A225" s="2" t="n">
        <v>75</v>
      </c>
      <c r="B225" s="2" t="s">
        <v>355</v>
      </c>
      <c r="C225" s="2" t="s">
        <v>421</v>
      </c>
      <c r="D225" s="2" t="s">
        <v>355</v>
      </c>
      <c r="E225" s="2" t="s">
        <v>71</v>
      </c>
      <c r="F225" s="2" t="s">
        <v>88</v>
      </c>
      <c r="G225" s="2" t="s">
        <v>89</v>
      </c>
      <c r="H225" s="2" t="s">
        <v>91</v>
      </c>
      <c r="I225" s="2" t="str">
        <f aca="false">IF(EXACT(B225,D225),"No","Yes")</f>
        <v>No</v>
      </c>
    </row>
    <row r="226" customFormat="false" ht="15" hidden="false" customHeight="false" outlineLevel="0" collapsed="false">
      <c r="A226" s="2" t="n">
        <v>75</v>
      </c>
      <c r="B226" s="2" t="s">
        <v>355</v>
      </c>
      <c r="C226" s="2" t="s">
        <v>422</v>
      </c>
      <c r="D226" s="2" t="s">
        <v>356</v>
      </c>
      <c r="E226" s="2" t="s">
        <v>56</v>
      </c>
      <c r="F226" s="2" t="s">
        <v>73</v>
      </c>
      <c r="G226" s="2" t="s">
        <v>90</v>
      </c>
      <c r="H226" s="2" t="s">
        <v>358</v>
      </c>
      <c r="I226" s="2" t="str">
        <f aca="false">IF(EXACT(B226,D226),"No","Yes")</f>
        <v>Yes</v>
      </c>
    </row>
    <row r="227" customFormat="false" ht="15" hidden="false" customHeight="false" outlineLevel="0" collapsed="false">
      <c r="A227" s="2" t="n">
        <v>76</v>
      </c>
      <c r="B227" s="2" t="s">
        <v>359</v>
      </c>
      <c r="C227" s="2" t="s">
        <v>420</v>
      </c>
      <c r="D227" s="2" t="s">
        <v>359</v>
      </c>
      <c r="E227" s="2" t="s">
        <v>71</v>
      </c>
      <c r="F227" s="2" t="s">
        <v>88</v>
      </c>
      <c r="G227" s="2" t="s">
        <v>89</v>
      </c>
      <c r="H227" s="2" t="s">
        <v>91</v>
      </c>
      <c r="I227" s="2" t="str">
        <f aca="false">IF(EXACT(B227,D227),"No","Yes")</f>
        <v>No</v>
      </c>
    </row>
    <row r="228" customFormat="false" ht="15" hidden="false" customHeight="false" outlineLevel="0" collapsed="false">
      <c r="A228" s="2" t="n">
        <v>76</v>
      </c>
      <c r="B228" s="2" t="s">
        <v>359</v>
      </c>
      <c r="C228" s="2" t="s">
        <v>421</v>
      </c>
      <c r="D228" s="2" t="s">
        <v>359</v>
      </c>
      <c r="E228" s="2" t="s">
        <v>80</v>
      </c>
      <c r="F228" s="2" t="s">
        <v>88</v>
      </c>
      <c r="G228" s="2" t="s">
        <v>89</v>
      </c>
      <c r="H228" s="2" t="s">
        <v>91</v>
      </c>
      <c r="I228" s="2" t="str">
        <f aca="false">IF(EXACT(B228,D228),"No","Yes")</f>
        <v>No</v>
      </c>
    </row>
    <row r="229" customFormat="false" ht="15" hidden="false" customHeight="false" outlineLevel="0" collapsed="false">
      <c r="A229" s="2" t="n">
        <v>76</v>
      </c>
      <c r="B229" s="2" t="s">
        <v>359</v>
      </c>
      <c r="C229" s="2" t="s">
        <v>422</v>
      </c>
      <c r="D229" s="2" t="s">
        <v>360</v>
      </c>
      <c r="E229" s="2" t="s">
        <v>56</v>
      </c>
      <c r="F229" s="2" t="s">
        <v>72</v>
      </c>
      <c r="G229" s="2" t="s">
        <v>74</v>
      </c>
      <c r="H229" s="2" t="s">
        <v>361</v>
      </c>
      <c r="I229" s="2" t="str">
        <f aca="false">IF(EXACT(B229,D229),"No","Yes")</f>
        <v>Yes</v>
      </c>
    </row>
    <row r="230" customFormat="false" ht="15" hidden="false" customHeight="false" outlineLevel="0" collapsed="false">
      <c r="A230" s="2" t="n">
        <v>77</v>
      </c>
      <c r="B230" s="2" t="s">
        <v>362</v>
      </c>
      <c r="C230" s="2" t="s">
        <v>420</v>
      </c>
      <c r="D230" s="2" t="s">
        <v>363</v>
      </c>
      <c r="E230" s="2" t="s">
        <v>56</v>
      </c>
      <c r="F230" s="2" t="s">
        <v>58</v>
      </c>
      <c r="G230" s="2" t="s">
        <v>59</v>
      </c>
      <c r="H230" s="2" t="s">
        <v>364</v>
      </c>
      <c r="I230" s="2" t="str">
        <f aca="false">IF(EXACT(B230,D230),"No","Yes")</f>
        <v>Yes</v>
      </c>
    </row>
    <row r="231" customFormat="false" ht="15" hidden="false" customHeight="false" outlineLevel="0" collapsed="false">
      <c r="A231" s="2" t="n">
        <v>77</v>
      </c>
      <c r="B231" s="2" t="s">
        <v>362</v>
      </c>
      <c r="C231" s="2" t="s">
        <v>421</v>
      </c>
      <c r="D231" s="2" t="s">
        <v>363</v>
      </c>
      <c r="E231" s="2" t="s">
        <v>56</v>
      </c>
      <c r="F231" s="2" t="s">
        <v>73</v>
      </c>
      <c r="G231" s="2" t="s">
        <v>75</v>
      </c>
      <c r="H231" s="2" t="s">
        <v>365</v>
      </c>
      <c r="I231" s="2" t="str">
        <f aca="false">IF(EXACT(B231,D231),"No","Yes")</f>
        <v>Yes</v>
      </c>
    </row>
    <row r="232" customFormat="false" ht="15" hidden="false" customHeight="false" outlineLevel="0" collapsed="false">
      <c r="A232" s="2" t="n">
        <v>77</v>
      </c>
      <c r="B232" s="2" t="s">
        <v>362</v>
      </c>
      <c r="C232" s="2" t="s">
        <v>422</v>
      </c>
      <c r="D232" s="2" t="s">
        <v>362</v>
      </c>
      <c r="E232" s="2" t="s">
        <v>57</v>
      </c>
      <c r="F232" s="2" t="s">
        <v>73</v>
      </c>
      <c r="G232" s="2" t="s">
        <v>75</v>
      </c>
      <c r="H232" s="2" t="s">
        <v>366</v>
      </c>
      <c r="I232" s="2" t="str">
        <f aca="false">IF(EXACT(B232,D232),"No","Yes")</f>
        <v>No</v>
      </c>
    </row>
    <row r="233" customFormat="false" ht="15" hidden="false" customHeight="false" outlineLevel="0" collapsed="false">
      <c r="A233" s="2" t="n">
        <v>78</v>
      </c>
      <c r="B233" s="2" t="s">
        <v>367</v>
      </c>
      <c r="C233" s="2" t="s">
        <v>420</v>
      </c>
      <c r="D233" s="2" t="s">
        <v>367</v>
      </c>
      <c r="E233" s="2" t="s">
        <v>57</v>
      </c>
      <c r="F233" s="2" t="s">
        <v>58</v>
      </c>
      <c r="G233" s="2" t="s">
        <v>66</v>
      </c>
      <c r="H233" s="2" t="s">
        <v>368</v>
      </c>
      <c r="I233" s="2" t="str">
        <f aca="false">IF(EXACT(B233,D233),"No","Yes")</f>
        <v>No</v>
      </c>
    </row>
    <row r="234" customFormat="false" ht="15" hidden="false" customHeight="false" outlineLevel="0" collapsed="false">
      <c r="A234" s="2" t="n">
        <v>78</v>
      </c>
      <c r="B234" s="2" t="s">
        <v>367</v>
      </c>
      <c r="C234" s="2" t="s">
        <v>421</v>
      </c>
      <c r="D234" s="2" t="s">
        <v>367</v>
      </c>
      <c r="E234" s="2" t="s">
        <v>57</v>
      </c>
      <c r="F234" s="2" t="s">
        <v>58</v>
      </c>
      <c r="G234" s="2" t="s">
        <v>66</v>
      </c>
      <c r="H234" s="2" t="s">
        <v>369</v>
      </c>
      <c r="I234" s="2" t="str">
        <f aca="false">IF(EXACT(B234,D234),"No","Yes")</f>
        <v>No</v>
      </c>
    </row>
    <row r="235" customFormat="false" ht="15" hidden="false" customHeight="false" outlineLevel="0" collapsed="false">
      <c r="A235" s="2" t="n">
        <v>78</v>
      </c>
      <c r="B235" s="2" t="s">
        <v>367</v>
      </c>
      <c r="C235" s="2" t="s">
        <v>422</v>
      </c>
      <c r="D235" s="2" t="s">
        <v>367</v>
      </c>
      <c r="E235" s="2" t="s">
        <v>71</v>
      </c>
      <c r="F235" s="2" t="s">
        <v>114</v>
      </c>
      <c r="G235" s="2" t="s">
        <v>66</v>
      </c>
      <c r="H235" s="2" t="s">
        <v>370</v>
      </c>
      <c r="I235" s="2" t="str">
        <f aca="false">IF(EXACT(B235,D235),"No","Yes")</f>
        <v>No</v>
      </c>
    </row>
    <row r="236" customFormat="false" ht="15" hidden="false" customHeight="false" outlineLevel="0" collapsed="false">
      <c r="A236" s="2" t="n">
        <v>79</v>
      </c>
      <c r="B236" s="2" t="s">
        <v>371</v>
      </c>
      <c r="C236" s="2" t="s">
        <v>420</v>
      </c>
      <c r="D236" s="2" t="s">
        <v>371</v>
      </c>
      <c r="E236" s="2" t="s">
        <v>57</v>
      </c>
      <c r="F236" s="2" t="s">
        <v>72</v>
      </c>
      <c r="G236" s="2" t="s">
        <v>74</v>
      </c>
      <c r="H236" s="2" t="s">
        <v>372</v>
      </c>
      <c r="I236" s="2" t="str">
        <f aca="false">IF(EXACT(B236,D236),"No","Yes")</f>
        <v>No</v>
      </c>
    </row>
    <row r="237" customFormat="false" ht="15" hidden="false" customHeight="false" outlineLevel="0" collapsed="false">
      <c r="A237" s="2" t="n">
        <v>79</v>
      </c>
      <c r="B237" s="2" t="s">
        <v>371</v>
      </c>
      <c r="C237" s="2" t="s">
        <v>421</v>
      </c>
      <c r="D237" s="2" t="s">
        <v>371</v>
      </c>
      <c r="E237" s="2" t="s">
        <v>71</v>
      </c>
      <c r="F237" s="2" t="s">
        <v>73</v>
      </c>
      <c r="G237" s="2" t="s">
        <v>75</v>
      </c>
      <c r="H237" s="2" t="s">
        <v>373</v>
      </c>
      <c r="I237" s="2" t="str">
        <f aca="false">IF(EXACT(B237,D237),"No","Yes")</f>
        <v>No</v>
      </c>
    </row>
    <row r="238" customFormat="false" ht="15" hidden="false" customHeight="false" outlineLevel="0" collapsed="false">
      <c r="A238" s="2" t="n">
        <v>79</v>
      </c>
      <c r="B238" s="2" t="s">
        <v>371</v>
      </c>
      <c r="C238" s="2" t="s">
        <v>422</v>
      </c>
      <c r="D238" s="2" t="s">
        <v>371</v>
      </c>
      <c r="E238" s="2" t="s">
        <v>71</v>
      </c>
      <c r="F238" s="2" t="s">
        <v>73</v>
      </c>
      <c r="G238" s="2" t="s">
        <v>75</v>
      </c>
      <c r="H238" s="2" t="s">
        <v>374</v>
      </c>
      <c r="I238" s="2" t="str">
        <f aca="false">IF(EXACT(B238,D238),"No","Yes")</f>
        <v>No</v>
      </c>
    </row>
    <row r="239" customFormat="false" ht="15" hidden="false" customHeight="false" outlineLevel="0" collapsed="false">
      <c r="A239" s="2" t="n">
        <v>80</v>
      </c>
      <c r="B239" s="2" t="s">
        <v>375</v>
      </c>
      <c r="C239" s="2" t="s">
        <v>420</v>
      </c>
      <c r="D239" s="2" t="s">
        <v>376</v>
      </c>
      <c r="E239" s="2" t="s">
        <v>56</v>
      </c>
      <c r="F239" s="2" t="s">
        <v>58</v>
      </c>
      <c r="G239" s="2" t="s">
        <v>59</v>
      </c>
      <c r="H239" s="2" t="s">
        <v>377</v>
      </c>
      <c r="I239" s="2" t="str">
        <f aca="false">IF(EXACT(B239,D239),"No","Yes")</f>
        <v>Yes</v>
      </c>
    </row>
    <row r="240" customFormat="false" ht="15" hidden="false" customHeight="false" outlineLevel="0" collapsed="false">
      <c r="A240" s="2" t="n">
        <v>80</v>
      </c>
      <c r="B240" s="2" t="s">
        <v>375</v>
      </c>
      <c r="C240" s="2" t="s">
        <v>421</v>
      </c>
      <c r="D240" s="2" t="s">
        <v>375</v>
      </c>
      <c r="E240" s="2" t="s">
        <v>57</v>
      </c>
      <c r="F240" s="2" t="s">
        <v>114</v>
      </c>
      <c r="G240" s="2" t="s">
        <v>66</v>
      </c>
      <c r="H240" s="2" t="s">
        <v>378</v>
      </c>
      <c r="I240" s="2" t="str">
        <f aca="false">IF(EXACT(B240,D240),"No","Yes")</f>
        <v>No</v>
      </c>
    </row>
    <row r="241" customFormat="false" ht="15" hidden="false" customHeight="false" outlineLevel="0" collapsed="false">
      <c r="A241" s="2" t="n">
        <v>80</v>
      </c>
      <c r="B241" s="2" t="s">
        <v>375</v>
      </c>
      <c r="C241" s="2" t="s">
        <v>422</v>
      </c>
      <c r="D241" s="2" t="s">
        <v>375</v>
      </c>
      <c r="E241" s="2" t="s">
        <v>57</v>
      </c>
      <c r="F241" s="2" t="s">
        <v>114</v>
      </c>
      <c r="G241" s="2" t="s">
        <v>66</v>
      </c>
      <c r="H241" s="2" t="s">
        <v>379</v>
      </c>
      <c r="I241" s="2" t="str">
        <f aca="false">IF(EXACT(B241,D241),"No","Yes")</f>
        <v>No</v>
      </c>
    </row>
    <row r="242" customFormat="false" ht="15" hidden="false" customHeight="false" outlineLevel="0" collapsed="false">
      <c r="A242" s="2" t="n">
        <v>81</v>
      </c>
      <c r="B242" s="2" t="s">
        <v>380</v>
      </c>
      <c r="C242" s="2" t="s">
        <v>420</v>
      </c>
      <c r="D242" s="2" t="s">
        <v>380</v>
      </c>
      <c r="E242" s="2" t="s">
        <v>71</v>
      </c>
      <c r="F242" s="2" t="s">
        <v>88</v>
      </c>
      <c r="G242" s="2" t="s">
        <v>89</v>
      </c>
      <c r="H242" s="2" t="s">
        <v>91</v>
      </c>
      <c r="I242" s="2" t="str">
        <f aca="false">IF(EXACT(B242,D242),"No","Yes")</f>
        <v>No</v>
      </c>
    </row>
    <row r="243" customFormat="false" ht="15" hidden="false" customHeight="false" outlineLevel="0" collapsed="false">
      <c r="A243" s="2" t="n">
        <v>81</v>
      </c>
      <c r="B243" s="2" t="s">
        <v>380</v>
      </c>
      <c r="C243" s="2" t="s">
        <v>421</v>
      </c>
      <c r="D243" s="2" t="s">
        <v>380</v>
      </c>
      <c r="E243" s="2" t="s">
        <v>71</v>
      </c>
      <c r="F243" s="2" t="s">
        <v>88</v>
      </c>
      <c r="G243" s="2" t="s">
        <v>89</v>
      </c>
      <c r="H243" s="2" t="s">
        <v>91</v>
      </c>
      <c r="I243" s="2" t="str">
        <f aca="false">IF(EXACT(B243,D243),"No","Yes")</f>
        <v>No</v>
      </c>
    </row>
    <row r="244" customFormat="false" ht="15" hidden="false" customHeight="false" outlineLevel="0" collapsed="false">
      <c r="A244" s="2" t="n">
        <v>81</v>
      </c>
      <c r="B244" s="2" t="s">
        <v>380</v>
      </c>
      <c r="C244" s="2" t="s">
        <v>422</v>
      </c>
      <c r="D244" s="2" t="s">
        <v>380</v>
      </c>
      <c r="E244" s="2" t="s">
        <v>71</v>
      </c>
      <c r="F244" s="2" t="s">
        <v>88</v>
      </c>
      <c r="G244" s="2" t="s">
        <v>89</v>
      </c>
      <c r="H244" s="2" t="s">
        <v>91</v>
      </c>
      <c r="I244" s="2" t="str">
        <f aca="false">IF(EXACT(B244,D244),"No","Yes")</f>
        <v>No</v>
      </c>
    </row>
    <row r="245" customFormat="false" ht="15" hidden="false" customHeight="false" outlineLevel="0" collapsed="false">
      <c r="A245" s="2" t="n">
        <v>82</v>
      </c>
      <c r="B245" s="2" t="s">
        <v>381</v>
      </c>
      <c r="C245" s="2" t="s">
        <v>420</v>
      </c>
      <c r="D245" s="2" t="s">
        <v>382</v>
      </c>
      <c r="E245" s="2" t="s">
        <v>56</v>
      </c>
      <c r="F245" s="2" t="s">
        <v>114</v>
      </c>
      <c r="G245" s="2" t="s">
        <v>59</v>
      </c>
      <c r="H245" s="2" t="s">
        <v>383</v>
      </c>
      <c r="I245" s="2" t="str">
        <f aca="false">IF(EXACT(B245,D245),"No","Yes")</f>
        <v>Yes</v>
      </c>
    </row>
    <row r="246" customFormat="false" ht="15" hidden="false" customHeight="false" outlineLevel="0" collapsed="false">
      <c r="A246" s="2" t="n">
        <v>82</v>
      </c>
      <c r="B246" s="2" t="s">
        <v>381</v>
      </c>
      <c r="C246" s="2" t="s">
        <v>421</v>
      </c>
      <c r="D246" s="2" t="s">
        <v>381</v>
      </c>
      <c r="E246" s="2" t="s">
        <v>71</v>
      </c>
      <c r="F246" s="2" t="s">
        <v>88</v>
      </c>
      <c r="G246" s="2" t="s">
        <v>89</v>
      </c>
      <c r="H246" s="2" t="s">
        <v>91</v>
      </c>
      <c r="I246" s="2" t="str">
        <f aca="false">IF(EXACT(B246,D246),"No","Yes")</f>
        <v>No</v>
      </c>
    </row>
    <row r="247" customFormat="false" ht="15" hidden="false" customHeight="false" outlineLevel="0" collapsed="false">
      <c r="A247" s="2" t="n">
        <v>82</v>
      </c>
      <c r="B247" s="2" t="s">
        <v>381</v>
      </c>
      <c r="C247" s="2" t="s">
        <v>422</v>
      </c>
      <c r="D247" s="2" t="s">
        <v>381</v>
      </c>
      <c r="E247" s="2" t="s">
        <v>71</v>
      </c>
      <c r="F247" s="2" t="s">
        <v>88</v>
      </c>
      <c r="G247" s="2" t="s">
        <v>89</v>
      </c>
      <c r="H247" s="2" t="s">
        <v>91</v>
      </c>
      <c r="I247" s="2" t="str">
        <f aca="false">IF(EXACT(B247,D247),"No","Yes")</f>
        <v>No</v>
      </c>
    </row>
    <row r="248" customFormat="false" ht="15" hidden="false" customHeight="false" outlineLevel="0" collapsed="false">
      <c r="A248" s="2" t="n">
        <v>83</v>
      </c>
      <c r="B248" s="2" t="s">
        <v>384</v>
      </c>
      <c r="C248" s="2" t="s">
        <v>420</v>
      </c>
      <c r="D248" s="2" t="s">
        <v>384</v>
      </c>
      <c r="E248" s="2" t="s">
        <v>57</v>
      </c>
      <c r="F248" s="2" t="s">
        <v>58</v>
      </c>
      <c r="G248" s="2" t="s">
        <v>61</v>
      </c>
      <c r="H248" s="2" t="s">
        <v>385</v>
      </c>
      <c r="I248" s="2" t="str">
        <f aca="false">IF(EXACT(B248,D248),"No","Yes")</f>
        <v>No</v>
      </c>
    </row>
    <row r="249" customFormat="false" ht="15" hidden="false" customHeight="false" outlineLevel="0" collapsed="false">
      <c r="A249" s="2" t="n">
        <v>83</v>
      </c>
      <c r="B249" s="2" t="s">
        <v>384</v>
      </c>
      <c r="C249" s="2" t="s">
        <v>421</v>
      </c>
      <c r="D249" s="2" t="s">
        <v>384</v>
      </c>
      <c r="E249" s="2" t="s">
        <v>57</v>
      </c>
      <c r="F249" s="2" t="s">
        <v>88</v>
      </c>
      <c r="G249" s="2" t="s">
        <v>60</v>
      </c>
      <c r="H249" s="2" t="s">
        <v>91</v>
      </c>
      <c r="I249" s="2" t="str">
        <f aca="false">IF(EXACT(B249,D249),"No","Yes")</f>
        <v>No</v>
      </c>
    </row>
    <row r="250" customFormat="false" ht="15" hidden="false" customHeight="false" outlineLevel="0" collapsed="false">
      <c r="A250" s="2" t="n">
        <v>83</v>
      </c>
      <c r="B250" s="2" t="s">
        <v>384</v>
      </c>
      <c r="C250" s="2" t="s">
        <v>422</v>
      </c>
      <c r="D250" s="2" t="s">
        <v>384</v>
      </c>
      <c r="E250" s="2" t="s">
        <v>57</v>
      </c>
      <c r="F250" s="2" t="s">
        <v>58</v>
      </c>
      <c r="G250" s="2" t="s">
        <v>61</v>
      </c>
      <c r="H250" s="2" t="s">
        <v>386</v>
      </c>
      <c r="I250" s="2" t="str">
        <f aca="false">IF(EXACT(B250,D250),"No","Yes")</f>
        <v>No</v>
      </c>
    </row>
    <row r="251" customFormat="false" ht="15" hidden="false" customHeight="false" outlineLevel="0" collapsed="false">
      <c r="A251" s="2" t="n">
        <v>84</v>
      </c>
      <c r="B251" s="2" t="s">
        <v>387</v>
      </c>
      <c r="C251" s="2" t="s">
        <v>420</v>
      </c>
      <c r="D251" s="2" t="s">
        <v>387</v>
      </c>
      <c r="E251" s="2" t="s">
        <v>57</v>
      </c>
      <c r="F251" s="2" t="s">
        <v>58</v>
      </c>
      <c r="G251" s="2" t="s">
        <v>66</v>
      </c>
      <c r="H251" s="2" t="s">
        <v>388</v>
      </c>
      <c r="I251" s="2" t="str">
        <f aca="false">IF(EXACT(B251,D251),"No","Yes")</f>
        <v>No</v>
      </c>
    </row>
    <row r="252" customFormat="false" ht="15" hidden="false" customHeight="false" outlineLevel="0" collapsed="false">
      <c r="A252" s="2" t="n">
        <v>84</v>
      </c>
      <c r="B252" s="2" t="s">
        <v>387</v>
      </c>
      <c r="C252" s="2" t="s">
        <v>421</v>
      </c>
      <c r="D252" s="2" t="s">
        <v>387</v>
      </c>
      <c r="E252" s="2" t="s">
        <v>80</v>
      </c>
      <c r="F252" s="2" t="s">
        <v>58</v>
      </c>
      <c r="G252" s="2" t="s">
        <v>66</v>
      </c>
      <c r="H252" s="2" t="s">
        <v>389</v>
      </c>
      <c r="I252" s="2" t="str">
        <f aca="false">IF(EXACT(B252,D252),"No","Yes")</f>
        <v>No</v>
      </c>
    </row>
    <row r="253" customFormat="false" ht="15" hidden="false" customHeight="false" outlineLevel="0" collapsed="false">
      <c r="A253" s="2" t="n">
        <v>84</v>
      </c>
      <c r="B253" s="2" t="s">
        <v>387</v>
      </c>
      <c r="C253" s="2" t="s">
        <v>422</v>
      </c>
      <c r="D253" s="2" t="s">
        <v>387</v>
      </c>
      <c r="E253" s="2" t="s">
        <v>71</v>
      </c>
      <c r="F253" s="2" t="s">
        <v>114</v>
      </c>
      <c r="G253" s="2" t="s">
        <v>66</v>
      </c>
      <c r="H253" s="2" t="s">
        <v>390</v>
      </c>
      <c r="I253" s="2" t="str">
        <f aca="false">IF(EXACT(B253,D253),"No","Yes")</f>
        <v>No</v>
      </c>
    </row>
    <row r="254" customFormat="false" ht="15" hidden="false" customHeight="false" outlineLevel="0" collapsed="false">
      <c r="A254" s="2" t="n">
        <v>85</v>
      </c>
      <c r="B254" s="2" t="s">
        <v>391</v>
      </c>
      <c r="C254" s="2" t="s">
        <v>420</v>
      </c>
      <c r="D254" s="2" t="s">
        <v>391</v>
      </c>
      <c r="E254" s="2" t="s">
        <v>71</v>
      </c>
      <c r="F254" s="2" t="s">
        <v>73</v>
      </c>
      <c r="G254" s="2" t="s">
        <v>75</v>
      </c>
      <c r="H254" s="2" t="s">
        <v>243</v>
      </c>
      <c r="I254" s="2" t="str">
        <f aca="false">IF(EXACT(B254,D254),"No","Yes")</f>
        <v>No</v>
      </c>
    </row>
    <row r="255" customFormat="false" ht="15" hidden="false" customHeight="false" outlineLevel="0" collapsed="false">
      <c r="A255" s="2" t="n">
        <v>85</v>
      </c>
      <c r="B255" s="2" t="s">
        <v>391</v>
      </c>
      <c r="C255" s="2" t="s">
        <v>421</v>
      </c>
      <c r="D255" s="2" t="s">
        <v>391</v>
      </c>
      <c r="E255" s="2" t="s">
        <v>71</v>
      </c>
      <c r="F255" s="2" t="s">
        <v>73</v>
      </c>
      <c r="G255" s="2" t="s">
        <v>75</v>
      </c>
      <c r="H255" s="2" t="s">
        <v>242</v>
      </c>
      <c r="I255" s="2" t="str">
        <f aca="false">IF(EXACT(B255,D255),"No","Yes")</f>
        <v>No</v>
      </c>
    </row>
    <row r="256" customFormat="false" ht="15" hidden="false" customHeight="false" outlineLevel="0" collapsed="false">
      <c r="A256" s="2" t="n">
        <v>85</v>
      </c>
      <c r="B256" s="2" t="s">
        <v>391</v>
      </c>
      <c r="C256" s="2" t="s">
        <v>422</v>
      </c>
      <c r="D256" s="2" t="s">
        <v>391</v>
      </c>
      <c r="E256" s="2" t="s">
        <v>71</v>
      </c>
      <c r="F256" s="2" t="s">
        <v>73</v>
      </c>
      <c r="G256" s="2" t="s">
        <v>75</v>
      </c>
      <c r="H256" s="2" t="s">
        <v>242</v>
      </c>
      <c r="I256" s="2" t="str">
        <f aca="false">IF(EXACT(B256,D256),"No","Yes")</f>
        <v>No</v>
      </c>
    </row>
    <row r="257" customFormat="false" ht="15" hidden="false" customHeight="false" outlineLevel="0" collapsed="false">
      <c r="A257" s="2" t="n">
        <v>86</v>
      </c>
      <c r="B257" s="2" t="s">
        <v>392</v>
      </c>
      <c r="C257" s="2" t="s">
        <v>420</v>
      </c>
      <c r="D257" s="2" t="s">
        <v>393</v>
      </c>
      <c r="E257" s="2" t="s">
        <v>56</v>
      </c>
      <c r="F257" s="2" t="s">
        <v>58</v>
      </c>
      <c r="G257" s="2" t="s">
        <v>59</v>
      </c>
      <c r="H257" s="2" t="s">
        <v>394</v>
      </c>
      <c r="I257" s="2" t="str">
        <f aca="false">IF(EXACT(B257,D257),"No","Yes")</f>
        <v>Yes</v>
      </c>
    </row>
    <row r="258" customFormat="false" ht="15" hidden="false" customHeight="false" outlineLevel="0" collapsed="false">
      <c r="A258" s="2" t="n">
        <v>86</v>
      </c>
      <c r="B258" s="2" t="s">
        <v>392</v>
      </c>
      <c r="C258" s="2" t="s">
        <v>421</v>
      </c>
      <c r="D258" s="2" t="s">
        <v>392</v>
      </c>
      <c r="E258" s="2" t="s">
        <v>57</v>
      </c>
      <c r="F258" s="2" t="s">
        <v>58</v>
      </c>
      <c r="G258" s="2" t="s">
        <v>66</v>
      </c>
      <c r="H258" s="2" t="s">
        <v>395</v>
      </c>
      <c r="I258" s="2" t="str">
        <f aca="false">IF(EXACT(B258,D258),"No","Yes")</f>
        <v>No</v>
      </c>
    </row>
    <row r="259" customFormat="false" ht="15" hidden="false" customHeight="false" outlineLevel="0" collapsed="false">
      <c r="A259" s="2" t="n">
        <v>86</v>
      </c>
      <c r="B259" s="2" t="s">
        <v>392</v>
      </c>
      <c r="C259" s="2" t="s">
        <v>422</v>
      </c>
      <c r="D259" s="2" t="s">
        <v>392</v>
      </c>
      <c r="E259" s="2" t="s">
        <v>71</v>
      </c>
      <c r="F259" s="2" t="s">
        <v>58</v>
      </c>
      <c r="G259" s="2" t="s">
        <v>66</v>
      </c>
      <c r="H259" s="2" t="s">
        <v>396</v>
      </c>
      <c r="I259" s="2" t="str">
        <f aca="false">IF(EXACT(B259,D259),"No","Yes")</f>
        <v>No</v>
      </c>
    </row>
    <row r="260" customFormat="false" ht="15" hidden="false" customHeight="false" outlineLevel="0" collapsed="false">
      <c r="A260" s="2" t="n">
        <v>87</v>
      </c>
      <c r="B260" s="2" t="s">
        <v>397</v>
      </c>
      <c r="C260" s="2" t="s">
        <v>420</v>
      </c>
      <c r="D260" s="2" t="s">
        <v>398</v>
      </c>
      <c r="E260" s="2" t="s">
        <v>56</v>
      </c>
      <c r="F260" s="2" t="s">
        <v>150</v>
      </c>
      <c r="G260" s="2" t="s">
        <v>151</v>
      </c>
      <c r="H260" s="2" t="s">
        <v>399</v>
      </c>
      <c r="I260" s="2" t="str">
        <f aca="false">IF(EXACT(B260,D260),"No","Yes")</f>
        <v>Yes</v>
      </c>
    </row>
    <row r="261" customFormat="false" ht="15" hidden="false" customHeight="false" outlineLevel="0" collapsed="false">
      <c r="A261" s="2" t="n">
        <v>87</v>
      </c>
      <c r="B261" s="2" t="s">
        <v>397</v>
      </c>
      <c r="C261" s="2" t="s">
        <v>421</v>
      </c>
      <c r="D261" s="2" t="s">
        <v>397</v>
      </c>
      <c r="E261" s="2" t="s">
        <v>80</v>
      </c>
      <c r="F261" s="2" t="s">
        <v>150</v>
      </c>
      <c r="G261" s="2" t="s">
        <v>81</v>
      </c>
      <c r="H261" s="2" t="s">
        <v>400</v>
      </c>
      <c r="I261" s="2" t="str">
        <f aca="false">IF(EXACT(B261,D261),"No","Yes")</f>
        <v>No</v>
      </c>
    </row>
    <row r="262" customFormat="false" ht="15" hidden="false" customHeight="false" outlineLevel="0" collapsed="false">
      <c r="A262" s="2" t="n">
        <v>87</v>
      </c>
      <c r="B262" s="2" t="s">
        <v>397</v>
      </c>
      <c r="C262" s="2" t="s">
        <v>422</v>
      </c>
      <c r="D262" s="2" t="s">
        <v>397</v>
      </c>
      <c r="E262" s="2" t="s">
        <v>71</v>
      </c>
      <c r="F262" s="2" t="s">
        <v>73</v>
      </c>
      <c r="G262" s="2" t="s">
        <v>74</v>
      </c>
      <c r="H262" s="2" t="s">
        <v>401</v>
      </c>
      <c r="I262" s="2" t="str">
        <f aca="false">IF(EXACT(B262,D262),"No","Yes")</f>
        <v>No</v>
      </c>
    </row>
    <row r="263" customFormat="false" ht="15" hidden="false" customHeight="false" outlineLevel="0" collapsed="false">
      <c r="A263" s="2" t="n">
        <v>88</v>
      </c>
      <c r="B263" s="2" t="s">
        <v>402</v>
      </c>
      <c r="C263" s="2" t="s">
        <v>420</v>
      </c>
      <c r="D263" s="2" t="s">
        <v>402</v>
      </c>
      <c r="E263" s="2" t="s">
        <v>71</v>
      </c>
      <c r="F263" s="2" t="s">
        <v>73</v>
      </c>
      <c r="G263" s="2" t="s">
        <v>75</v>
      </c>
      <c r="H263" s="2" t="s">
        <v>403</v>
      </c>
      <c r="I263" s="2" t="str">
        <f aca="false">IF(EXACT(B263,D263),"No","Yes")</f>
        <v>No</v>
      </c>
    </row>
    <row r="264" customFormat="false" ht="15" hidden="false" customHeight="false" outlineLevel="0" collapsed="false">
      <c r="A264" s="2" t="n">
        <v>88</v>
      </c>
      <c r="B264" s="2" t="s">
        <v>402</v>
      </c>
      <c r="C264" s="2" t="s">
        <v>421</v>
      </c>
      <c r="D264" s="2" t="s">
        <v>402</v>
      </c>
      <c r="E264" s="2" t="s">
        <v>80</v>
      </c>
      <c r="F264" s="2" t="s">
        <v>73</v>
      </c>
      <c r="G264" s="2" t="s">
        <v>75</v>
      </c>
      <c r="H264" s="2" t="s">
        <v>404</v>
      </c>
      <c r="I264" s="2" t="str">
        <f aca="false">IF(EXACT(B264,D264),"No","Yes")</f>
        <v>No</v>
      </c>
    </row>
    <row r="265" customFormat="false" ht="15" hidden="false" customHeight="false" outlineLevel="0" collapsed="false">
      <c r="A265" s="2" t="n">
        <v>88</v>
      </c>
      <c r="B265" s="2" t="s">
        <v>402</v>
      </c>
      <c r="C265" s="2" t="s">
        <v>422</v>
      </c>
      <c r="D265" s="2" t="s">
        <v>402</v>
      </c>
      <c r="E265" s="2" t="s">
        <v>71</v>
      </c>
      <c r="F265" s="2" t="s">
        <v>73</v>
      </c>
      <c r="G265" s="2" t="s">
        <v>75</v>
      </c>
      <c r="H265" s="2" t="s">
        <v>405</v>
      </c>
      <c r="I265" s="2" t="str">
        <f aca="false">IF(EXACT(B265,D265),"No","Yes")</f>
        <v>No</v>
      </c>
    </row>
    <row r="266" customFormat="false" ht="15" hidden="false" customHeight="false" outlineLevel="0" collapsed="false">
      <c r="A266" s="2" t="n">
        <v>89</v>
      </c>
      <c r="B266" s="2" t="s">
        <v>406</v>
      </c>
      <c r="C266" s="2" t="s">
        <v>420</v>
      </c>
      <c r="D266" s="2" t="s">
        <v>406</v>
      </c>
      <c r="E266" s="2" t="s">
        <v>71</v>
      </c>
      <c r="F266" s="2" t="s">
        <v>73</v>
      </c>
      <c r="G266" s="2" t="s">
        <v>75</v>
      </c>
      <c r="H266" s="2" t="s">
        <v>407</v>
      </c>
      <c r="I266" s="2" t="str">
        <f aca="false">IF(EXACT(B266,D266),"No","Yes")</f>
        <v>No</v>
      </c>
    </row>
    <row r="267" customFormat="false" ht="15" hidden="false" customHeight="false" outlineLevel="0" collapsed="false">
      <c r="A267" s="2" t="n">
        <v>89</v>
      </c>
      <c r="B267" s="2" t="s">
        <v>406</v>
      </c>
      <c r="C267" s="2" t="s">
        <v>421</v>
      </c>
      <c r="D267" s="2" t="s">
        <v>406</v>
      </c>
      <c r="E267" s="2" t="s">
        <v>71</v>
      </c>
      <c r="F267" s="2" t="s">
        <v>73</v>
      </c>
      <c r="G267" s="2" t="s">
        <v>75</v>
      </c>
      <c r="H267" s="2" t="s">
        <v>407</v>
      </c>
      <c r="I267" s="2" t="str">
        <f aca="false">IF(EXACT(B267,D267),"No","Yes")</f>
        <v>No</v>
      </c>
    </row>
    <row r="268" customFormat="false" ht="15" hidden="false" customHeight="false" outlineLevel="0" collapsed="false">
      <c r="A268" s="2" t="n">
        <v>89</v>
      </c>
      <c r="B268" s="2" t="s">
        <v>406</v>
      </c>
      <c r="C268" s="2" t="s">
        <v>422</v>
      </c>
      <c r="D268" s="2" t="s">
        <v>406</v>
      </c>
      <c r="E268" s="2" t="s">
        <v>71</v>
      </c>
      <c r="F268" s="2" t="s">
        <v>73</v>
      </c>
      <c r="G268" s="2" t="s">
        <v>75</v>
      </c>
      <c r="H268" s="2" t="s">
        <v>407</v>
      </c>
      <c r="I268" s="2" t="str">
        <f aca="false">IF(EXACT(B268,D268),"No","Yes")</f>
        <v>No</v>
      </c>
    </row>
    <row r="269" customFormat="false" ht="15" hidden="false" customHeight="false" outlineLevel="0" collapsed="false">
      <c r="A269" s="2" t="n">
        <v>90</v>
      </c>
      <c r="B269" s="2" t="s">
        <v>408</v>
      </c>
      <c r="C269" s="2" t="s">
        <v>420</v>
      </c>
      <c r="D269" s="2" t="s">
        <v>408</v>
      </c>
      <c r="E269" s="2" t="s">
        <v>80</v>
      </c>
      <c r="F269" s="2" t="s">
        <v>72</v>
      </c>
      <c r="G269" s="2" t="s">
        <v>74</v>
      </c>
      <c r="H269" s="2" t="s">
        <v>409</v>
      </c>
      <c r="I269" s="2" t="str">
        <f aca="false">IF(EXACT(B269,D269),"No","Yes")</f>
        <v>No</v>
      </c>
    </row>
    <row r="270" customFormat="false" ht="15" hidden="false" customHeight="false" outlineLevel="0" collapsed="false">
      <c r="A270" s="2" t="n">
        <v>90</v>
      </c>
      <c r="B270" s="2" t="s">
        <v>408</v>
      </c>
      <c r="C270" s="2" t="s">
        <v>421</v>
      </c>
      <c r="D270" s="2" t="s">
        <v>408</v>
      </c>
      <c r="E270" s="2" t="s">
        <v>71</v>
      </c>
      <c r="F270" s="2" t="s">
        <v>73</v>
      </c>
      <c r="G270" s="2" t="s">
        <v>75</v>
      </c>
      <c r="H270" s="2" t="s">
        <v>410</v>
      </c>
      <c r="I270" s="2" t="str">
        <f aca="false">IF(EXACT(B270,D270),"No","Yes")</f>
        <v>No</v>
      </c>
    </row>
    <row r="271" customFormat="false" ht="15" hidden="false" customHeight="false" outlineLevel="0" collapsed="false">
      <c r="A271" s="2" t="n">
        <v>90</v>
      </c>
      <c r="B271" s="2" t="s">
        <v>408</v>
      </c>
      <c r="C271" s="2" t="s">
        <v>422</v>
      </c>
      <c r="D271" s="2" t="s">
        <v>408</v>
      </c>
      <c r="E271" s="2" t="s">
        <v>71</v>
      </c>
      <c r="F271" s="2" t="s">
        <v>73</v>
      </c>
      <c r="G271" s="2" t="s">
        <v>75</v>
      </c>
      <c r="H271" s="2" t="s">
        <v>410</v>
      </c>
      <c r="I271" s="2" t="str">
        <f aca="false">IF(EXACT(B271,D271),"No","Yes")</f>
        <v>No</v>
      </c>
    </row>
    <row r="272" customFormat="false" ht="15" hidden="false" customHeight="false" outlineLevel="0" collapsed="false">
      <c r="A272" s="2" t="n">
        <v>91</v>
      </c>
      <c r="B272" s="2" t="s">
        <v>411</v>
      </c>
      <c r="C272" s="2" t="s">
        <v>420</v>
      </c>
      <c r="D272" s="2" t="s">
        <v>411</v>
      </c>
      <c r="E272" s="2" t="s">
        <v>71</v>
      </c>
      <c r="F272" s="2" t="s">
        <v>88</v>
      </c>
      <c r="G272" s="2" t="s">
        <v>89</v>
      </c>
      <c r="H272" s="2" t="s">
        <v>412</v>
      </c>
      <c r="I272" s="2" t="str">
        <f aca="false">IF(EXACT(B272,D272),"No","Yes")</f>
        <v>No</v>
      </c>
    </row>
    <row r="273" customFormat="false" ht="15" hidden="false" customHeight="false" outlineLevel="0" collapsed="false">
      <c r="A273" s="2" t="n">
        <v>91</v>
      </c>
      <c r="B273" s="2" t="s">
        <v>411</v>
      </c>
      <c r="C273" s="2" t="s">
        <v>421</v>
      </c>
      <c r="D273" s="2" t="s">
        <v>411</v>
      </c>
      <c r="E273" s="2" t="s">
        <v>57</v>
      </c>
      <c r="F273" s="2" t="s">
        <v>72</v>
      </c>
      <c r="G273" s="2" t="s">
        <v>74</v>
      </c>
      <c r="H273" s="2" t="s">
        <v>413</v>
      </c>
      <c r="I273" s="2" t="str">
        <f aca="false">IF(EXACT(B273,D273),"No","Yes")</f>
        <v>No</v>
      </c>
    </row>
    <row r="274" customFormat="false" ht="15" hidden="false" customHeight="false" outlineLevel="0" collapsed="false">
      <c r="A274" s="2" t="n">
        <v>91</v>
      </c>
      <c r="B274" s="2" t="s">
        <v>411</v>
      </c>
      <c r="C274" s="2" t="s">
        <v>422</v>
      </c>
      <c r="D274" s="2" t="s">
        <v>411</v>
      </c>
      <c r="E274" s="2" t="s">
        <v>71</v>
      </c>
      <c r="F274" s="2" t="s">
        <v>88</v>
      </c>
      <c r="G274" s="2" t="s">
        <v>89</v>
      </c>
      <c r="H274" s="2" t="s">
        <v>91</v>
      </c>
      <c r="I274" s="2" t="str">
        <f aca="false">IF(EXACT(B274,D274),"No","Yes")</f>
        <v>No</v>
      </c>
    </row>
  </sheetData>
  <autoFilter ref="A1:I2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4" t="s">
        <v>423</v>
      </c>
    </row>
    <row r="2" customFormat="false" ht="15" hidden="false" customHeight="false" outlineLevel="0" collapsed="false">
      <c r="A2" s="1" t="s">
        <v>424</v>
      </c>
      <c r="B2" s="1" t="s">
        <v>420</v>
      </c>
      <c r="C2" s="1" t="s">
        <v>421</v>
      </c>
      <c r="D2" s="1" t="s">
        <v>422</v>
      </c>
    </row>
    <row r="3" customFormat="false" ht="15" hidden="false" customHeight="false" outlineLevel="0" collapsed="false">
      <c r="A3" s="2" t="s">
        <v>71</v>
      </c>
      <c r="B3" s="2" t="n">
        <f aca="false">COUNTIFS(Long!$C$2:$C$274,"ChatGPT",Long!$E$2:$E$274,$A3)</f>
        <v>26</v>
      </c>
      <c r="C3" s="2" t="n">
        <f aca="false">COUNTIFS(Long!$C$2:$C$274,"Opus 5",Long!$E$2:$E$274,$A3)</f>
        <v>20</v>
      </c>
      <c r="D3" s="2" t="n">
        <f aca="false">COUNTIFS(Long!$C$2:$C$274,"Gemini",Long!$E$2:$E$274,$A3)</f>
        <v>61</v>
      </c>
    </row>
    <row r="4" customFormat="false" ht="15" hidden="false" customHeight="false" outlineLevel="0" collapsed="false">
      <c r="A4" s="2" t="s">
        <v>56</v>
      </c>
      <c r="B4" s="2" t="n">
        <f aca="false">COUNTIFS(Long!$C$2:$C$274,"ChatGPT",Long!$E$2:$E$274,$A4)</f>
        <v>26</v>
      </c>
      <c r="C4" s="2" t="n">
        <f aca="false">COUNTIFS(Long!$C$2:$C$274,"Opus 5",Long!$E$2:$E$274,$A4)</f>
        <v>15</v>
      </c>
      <c r="D4" s="2" t="n">
        <f aca="false">COUNTIFS(Long!$C$2:$C$274,"Gemini",Long!$E$2:$E$274,$A4)</f>
        <v>9</v>
      </c>
    </row>
    <row r="5" customFormat="false" ht="15" hidden="false" customHeight="false" outlineLevel="0" collapsed="false">
      <c r="A5" s="2" t="s">
        <v>57</v>
      </c>
      <c r="B5" s="2" t="n">
        <f aca="false">COUNTIFS(Long!$C$2:$C$274,"ChatGPT",Long!$E$2:$E$274,$A5)</f>
        <v>38</v>
      </c>
      <c r="C5" s="2" t="n">
        <f aca="false">COUNTIFS(Long!$C$2:$C$274,"Opus 5",Long!$E$2:$E$274,$A5)</f>
        <v>37</v>
      </c>
      <c r="D5" s="2" t="n">
        <f aca="false">COUNTIFS(Long!$C$2:$C$274,"Gemini",Long!$E$2:$E$274,$A5)</f>
        <v>21</v>
      </c>
    </row>
    <row r="6" customFormat="false" ht="15" hidden="false" customHeight="false" outlineLevel="0" collapsed="false">
      <c r="A6" s="2" t="s">
        <v>80</v>
      </c>
      <c r="B6" s="2" t="n">
        <f aca="false">COUNTIFS(Long!$C$2:$C$274,"ChatGPT",Long!$E$2:$E$274,$A6)</f>
        <v>1</v>
      </c>
      <c r="C6" s="2" t="n">
        <f aca="false">COUNTIFS(Long!$C$2:$C$274,"Opus 5",Long!$E$2:$E$274,$A6)</f>
        <v>19</v>
      </c>
      <c r="D6" s="2" t="n">
        <f aca="false">COUNTIFS(Long!$C$2:$C$274,"Gemini",Long!$E$2:$E$274,$A6)</f>
        <v>0</v>
      </c>
    </row>
    <row r="7" customFormat="false" ht="15" hidden="false" customHeight="false" outlineLevel="0" collapsed="false">
      <c r="A7" s="2" t="s">
        <v>425</v>
      </c>
      <c r="B7" s="2" t="n">
        <f aca="false">COUNTIFS(Long!$C$2:$C$274,"ChatGPT",Long!$E$2:$E$274,$A7)</f>
        <v>0</v>
      </c>
      <c r="C7" s="2" t="n">
        <f aca="false">COUNTIFS(Long!$C$2:$C$274,"Opus 5",Long!$E$2:$E$274,$A7)</f>
        <v>0</v>
      </c>
      <c r="D7" s="2" t="n">
        <f aca="false">COUNTIFS(Long!$C$2:$C$274,"Gemini",Long!$E$2:$E$274,$A7)</f>
        <v>0</v>
      </c>
    </row>
    <row r="9" customFormat="false" ht="15" hidden="false" customHeight="false" outlineLevel="0" collapsed="false">
      <c r="A9" s="4" t="s">
        <v>426</v>
      </c>
    </row>
    <row r="10" customFormat="false" ht="15" hidden="false" customHeight="false" outlineLevel="0" collapsed="false">
      <c r="A10" s="1" t="s">
        <v>424</v>
      </c>
      <c r="B10" s="1" t="s">
        <v>420</v>
      </c>
      <c r="C10" s="1" t="s">
        <v>421</v>
      </c>
      <c r="D10" s="1" t="s">
        <v>422</v>
      </c>
    </row>
    <row r="11" customFormat="false" ht="15" hidden="false" customHeight="false" outlineLevel="0" collapsed="false">
      <c r="A11" s="2" t="s">
        <v>73</v>
      </c>
      <c r="B11" s="2" t="n">
        <f aca="false">COUNTIFS(Long!$C$2:$C$274,"ChatGPT",Long!$F$2:$F$274,$A11)</f>
        <v>17</v>
      </c>
      <c r="C11" s="2" t="n">
        <f aca="false">COUNTIFS(Long!$C$2:$C$274,"Opus 5",Long!$F$2:$F$274,$A11)</f>
        <v>21</v>
      </c>
      <c r="D11" s="2" t="n">
        <f aca="false">COUNTIFS(Long!$C$2:$C$274,"Gemini",Long!$F$2:$F$274,$A11)</f>
        <v>25</v>
      </c>
    </row>
    <row r="12" customFormat="false" ht="15" hidden="false" customHeight="false" outlineLevel="0" collapsed="false">
      <c r="A12" s="2" t="s">
        <v>72</v>
      </c>
      <c r="B12" s="2" t="n">
        <f aca="false">COUNTIFS(Long!$C$2:$C$274,"ChatGPT",Long!$F$2:$F$274,$A12)</f>
        <v>18</v>
      </c>
      <c r="C12" s="2" t="n">
        <f aca="false">COUNTIFS(Long!$C$2:$C$274,"Opus 5",Long!$F$2:$F$274,$A12)</f>
        <v>13</v>
      </c>
      <c r="D12" s="2" t="n">
        <f aca="false">COUNTIFS(Long!$C$2:$C$274,"Gemini",Long!$F$2:$F$274,$A12)</f>
        <v>23</v>
      </c>
    </row>
    <row r="13" customFormat="false" ht="15" hidden="false" customHeight="false" outlineLevel="0" collapsed="false">
      <c r="A13" s="2" t="s">
        <v>58</v>
      </c>
      <c r="B13" s="2" t="n">
        <f aca="false">COUNTIFS(Long!$C$2:$C$274,"ChatGPT",Long!$F$2:$F$274,$A13)</f>
        <v>33</v>
      </c>
      <c r="C13" s="2" t="n">
        <f aca="false">COUNTIFS(Long!$C$2:$C$274,"Opus 5",Long!$F$2:$F$274,$A13)</f>
        <v>29</v>
      </c>
      <c r="D13" s="2" t="n">
        <f aca="false">COUNTIFS(Long!$C$2:$C$274,"Gemini",Long!$F$2:$F$274,$A13)</f>
        <v>16</v>
      </c>
    </row>
    <row r="14" customFormat="false" ht="15" hidden="false" customHeight="false" outlineLevel="0" collapsed="false">
      <c r="A14" s="2" t="s">
        <v>114</v>
      </c>
      <c r="B14" s="2" t="n">
        <f aca="false">COUNTIFS(Long!$C$2:$C$274,"ChatGPT",Long!$F$2:$F$274,$A14)</f>
        <v>6</v>
      </c>
      <c r="C14" s="2" t="n">
        <f aca="false">COUNTIFS(Long!$C$2:$C$274,"Opus 5",Long!$F$2:$F$274,$A14)</f>
        <v>4</v>
      </c>
      <c r="D14" s="2" t="n">
        <f aca="false">COUNTIFS(Long!$C$2:$C$274,"Gemini",Long!$F$2:$F$274,$A14)</f>
        <v>15</v>
      </c>
    </row>
    <row r="15" customFormat="false" ht="15" hidden="false" customHeight="false" outlineLevel="0" collapsed="false">
      <c r="A15" s="2" t="s">
        <v>150</v>
      </c>
      <c r="B15" s="2" t="n">
        <f aca="false">COUNTIFS(Long!$C$2:$C$274,"ChatGPT",Long!$F$2:$F$274,$A15)</f>
        <v>4</v>
      </c>
      <c r="C15" s="2" t="n">
        <f aca="false">COUNTIFS(Long!$C$2:$C$274,"Opus 5",Long!$F$2:$F$274,$A15)</f>
        <v>6</v>
      </c>
      <c r="D15" s="2" t="n">
        <f aca="false">COUNTIFS(Long!$C$2:$C$274,"Gemini",Long!$F$2:$F$274,$A15)</f>
        <v>2</v>
      </c>
    </row>
    <row r="16" customFormat="false" ht="15" hidden="false" customHeight="false" outlineLevel="0" collapsed="false">
      <c r="A16" s="2" t="s">
        <v>88</v>
      </c>
      <c r="B16" s="2" t="n">
        <f aca="false">COUNTIFS(Long!$C$2:$C$274,"ChatGPT",Long!$F$2:$F$274,$A16)</f>
        <v>13</v>
      </c>
      <c r="C16" s="2" t="n">
        <f aca="false">COUNTIFS(Long!$C$2:$C$274,"Opus 5",Long!$F$2:$F$274,$A16)</f>
        <v>18</v>
      </c>
      <c r="D16" s="2" t="n">
        <f aca="false">COUNTIFS(Long!$C$2:$C$274,"Gemini",Long!$F$2:$F$274,$A16)</f>
        <v>10</v>
      </c>
    </row>
    <row r="18" customFormat="false" ht="15" hidden="false" customHeight="false" outlineLevel="0" collapsed="false">
      <c r="A18" s="4" t="s">
        <v>427</v>
      </c>
    </row>
    <row r="19" customFormat="false" ht="15" hidden="false" customHeight="false" outlineLevel="0" collapsed="false">
      <c r="A19" s="1" t="s">
        <v>424</v>
      </c>
      <c r="B19" s="1" t="s">
        <v>420</v>
      </c>
      <c r="C19" s="1" t="s">
        <v>421</v>
      </c>
      <c r="D19" s="1" t="s">
        <v>422</v>
      </c>
    </row>
    <row r="20" customFormat="false" ht="15" hidden="false" customHeight="false" outlineLevel="0" collapsed="false">
      <c r="A20" s="2" t="s">
        <v>428</v>
      </c>
      <c r="B20" s="2" t="n">
        <f aca="false">COUNTIFS(Long!$C$2:$C$274,"ChatGPT",Long!$I$2:$I$274,$A20)</f>
        <v>26</v>
      </c>
      <c r="C20" s="2" t="n">
        <f aca="false">COUNTIFS(Long!$C$2:$C$274,"Opus 5",Long!$I$2:$I$274,$A20)</f>
        <v>15</v>
      </c>
      <c r="D20" s="2" t="n">
        <f aca="false">COUNTIFS(Long!$C$2:$C$274,"Gemini",Long!$I$2:$I$274,$A20)</f>
        <v>9</v>
      </c>
    </row>
    <row r="21" customFormat="false" ht="15" hidden="false" customHeight="false" outlineLevel="0" collapsed="false">
      <c r="A21" s="2" t="s">
        <v>429</v>
      </c>
      <c r="B21" s="2" t="n">
        <f aca="false">COUNTIFS(Long!$C$2:$C$274,"ChatGPT",Long!$I$2:$I$274,$A21)</f>
        <v>65</v>
      </c>
      <c r="C21" s="2" t="n">
        <f aca="false">COUNTIFS(Long!$C$2:$C$274,"Opus 5",Long!$I$2:$I$274,$A21)</f>
        <v>76</v>
      </c>
      <c r="D21" s="2" t="n">
        <f aca="false">COUNTIFS(Long!$C$2:$C$274,"Gemini",Long!$I$2:$I$274,$A21)</f>
        <v>82</v>
      </c>
    </row>
    <row r="23" customFormat="false" ht="15" hidden="false" customHeight="false" outlineLevel="0" collapsed="false">
      <c r="A23" s="4" t="s">
        <v>430</v>
      </c>
    </row>
    <row r="24" customFormat="false" ht="15" hidden="false" customHeight="false" outlineLevel="0" collapsed="false">
      <c r="A24" s="1" t="s">
        <v>431</v>
      </c>
      <c r="B24" s="1" t="s">
        <v>432</v>
      </c>
      <c r="C24" s="1" t="s">
        <v>433</v>
      </c>
      <c r="D24" s="1" t="s">
        <v>434</v>
      </c>
    </row>
    <row r="25" customFormat="false" ht="15" hidden="false" customHeight="false" outlineLevel="0" collapsed="false">
      <c r="A25" s="2" t="s">
        <v>435</v>
      </c>
      <c r="B25" s="2" t="n">
        <f aca="false">COUNTIF(Wide!$F$2:$F$92,3)</f>
        <v>61</v>
      </c>
      <c r="C25" s="2" t="n">
        <f aca="false">COUNTIF(Wide!$F$2:$F$92,2)</f>
        <v>23</v>
      </c>
      <c r="D25" s="2" t="n">
        <f aca="false">COUNTIF(Wide!$F$2:$F$92,1)</f>
        <v>7</v>
      </c>
    </row>
    <row r="26" customFormat="false" ht="15" hidden="false" customHeight="false" outlineLevel="0" collapsed="false">
      <c r="A26" s="2" t="s">
        <v>416</v>
      </c>
      <c r="B26" s="2" t="n">
        <f aca="false">COUNTIF(Wide!$K$2:$K$92,3)</f>
        <v>25</v>
      </c>
      <c r="C26" s="2" t="n">
        <f aca="false">COUNTIF(Wide!$K$2:$K$92,2)</f>
        <v>52</v>
      </c>
      <c r="D26" s="2" t="n">
        <f aca="false">COUNTIF(Wide!$K$2:$K$92,1)</f>
        <v>14</v>
      </c>
    </row>
    <row r="27" customFormat="false" ht="15" hidden="false" customHeight="false" outlineLevel="0" collapsed="false">
      <c r="A27" s="2" t="s">
        <v>417</v>
      </c>
      <c r="B27" s="2" t="n">
        <f aca="false">COUNTIF(Wide!$P$2:$P$92,3)</f>
        <v>30</v>
      </c>
      <c r="C27" s="2" t="n">
        <f aca="false">COUNTIF(Wide!$P$2:$P$92,2)</f>
        <v>53</v>
      </c>
      <c r="D27" s="2" t="n">
        <f aca="false">COUNTIF(Wide!$P$2:$P$92,1)</f>
        <v>8</v>
      </c>
    </row>
    <row r="28" customFormat="false" ht="15" hidden="false" customHeight="false" outlineLevel="0" collapsed="false">
      <c r="A28" s="2" t="s">
        <v>418</v>
      </c>
      <c r="B28" s="2" t="n">
        <f aca="false">COUNTIF(Wide!$U$2:$U$92,3)</f>
        <v>20</v>
      </c>
      <c r="C28" s="2" t="n">
        <f aca="false">COUNTIF(Wide!$U$2:$U$92,2)</f>
        <v>43</v>
      </c>
      <c r="D28" s="2" t="n">
        <f aca="false">COUNTIF(Wide!$U$2:$U$92,1)</f>
        <v>28</v>
      </c>
    </row>
    <row r="30" customFormat="false" ht="15" hidden="false" customHeight="false" outlineLevel="0" collapsed="false">
      <c r="A30" s="4" t="s">
        <v>436</v>
      </c>
    </row>
    <row r="31" customFormat="false" ht="15" hidden="false" customHeight="false" outlineLevel="0" collapsed="false">
      <c r="A31" s="1" t="s">
        <v>431</v>
      </c>
      <c r="B31" s="1" t="s">
        <v>420</v>
      </c>
      <c r="C31" s="1" t="s">
        <v>421</v>
      </c>
      <c r="D31" s="1" t="s">
        <v>422</v>
      </c>
    </row>
    <row r="32" customFormat="false" ht="15" hidden="false" customHeight="false" outlineLevel="0" collapsed="false">
      <c r="A32" s="2" t="s">
        <v>435</v>
      </c>
      <c r="B32" s="2" t="n">
        <f aca="false">COUNTIF(Wide!$G$2:$G$92,"ChatGPT")</f>
        <v>11</v>
      </c>
      <c r="C32" s="2" t="n">
        <f aca="false">COUNTIF(Wide!$G$2:$G$92,"Opus 5")</f>
        <v>4</v>
      </c>
      <c r="D32" s="2" t="n">
        <f aca="false">COUNTIF(Wide!$G$2:$G$92,"Gemini")</f>
        <v>8</v>
      </c>
    </row>
    <row r="33" customFormat="false" ht="15" hidden="false" customHeight="false" outlineLevel="0" collapsed="false">
      <c r="A33" s="2" t="s">
        <v>416</v>
      </c>
      <c r="B33" s="2" t="n">
        <f aca="false">COUNTIF(Wide!$L$2:$L$92,"ChatGPT")</f>
        <v>11</v>
      </c>
      <c r="C33" s="2" t="n">
        <f aca="false">COUNTIF(Wide!$L$2:$L$92,"Opus 5")</f>
        <v>14</v>
      </c>
      <c r="D33" s="2" t="n">
        <f aca="false">COUNTIF(Wide!$L$2:$L$92,"Gemini")</f>
        <v>27</v>
      </c>
    </row>
    <row r="34" customFormat="false" ht="15" hidden="false" customHeight="false" outlineLevel="0" collapsed="false">
      <c r="A34" s="2" t="s">
        <v>417</v>
      </c>
      <c r="B34" s="2" t="n">
        <f aca="false">COUNTIF(Wide!$Q$2:$Q$92,"ChatGPT")</f>
        <v>15</v>
      </c>
      <c r="C34" s="2" t="n">
        <f aca="false">COUNTIF(Wide!$Q$2:$Q$92,"Opus 5")</f>
        <v>8</v>
      </c>
      <c r="D34" s="2" t="n">
        <f aca="false">COUNTIF(Wide!$Q$2:$Q$92,"Gemini")</f>
        <v>30</v>
      </c>
    </row>
    <row r="35" customFormat="false" ht="15" hidden="false" customHeight="false" outlineLevel="0" collapsed="false">
      <c r="A35" s="2" t="s">
        <v>418</v>
      </c>
      <c r="B35" s="2" t="n">
        <f aca="false">COUNTIF(Wide!$V$2:$V$92,"ChatGPT")</f>
        <v>13</v>
      </c>
      <c r="C35" s="2" t="n">
        <f aca="false">COUNTIF(Wide!$V$2:$V$92,"Opus 5")</f>
        <v>12</v>
      </c>
      <c r="D35" s="2" t="n">
        <f aca="false">COUNTIF(Wide!$V$2:$V$92,"Gemini")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3" t="s">
        <v>414</v>
      </c>
      <c r="B1" s="3" t="s">
        <v>29</v>
      </c>
      <c r="C1" s="3" t="s">
        <v>431</v>
      </c>
      <c r="D1" s="3" t="s">
        <v>437</v>
      </c>
    </row>
    <row r="2" customFormat="false" ht="15" hidden="false" customHeight="false" outlineLevel="0" collapsed="false">
      <c r="A2" s="2" t="s">
        <v>420</v>
      </c>
      <c r="B2" s="2" t="s">
        <v>438</v>
      </c>
      <c r="C2" s="2" t="s">
        <v>439</v>
      </c>
      <c r="D2" s="2" t="s">
        <v>440</v>
      </c>
    </row>
    <row r="3" customFormat="false" ht="15" hidden="false" customHeight="false" outlineLevel="0" collapsed="false">
      <c r="A3" s="2" t="s">
        <v>420</v>
      </c>
      <c r="B3" s="2" t="s">
        <v>438</v>
      </c>
      <c r="C3" s="2" t="s">
        <v>18</v>
      </c>
      <c r="D3" s="2" t="s">
        <v>441</v>
      </c>
    </row>
    <row r="4" customFormat="false" ht="15" hidden="false" customHeight="false" outlineLevel="0" collapsed="false">
      <c r="A4" s="2" t="s">
        <v>420</v>
      </c>
      <c r="B4" s="2" t="s">
        <v>139</v>
      </c>
      <c r="C4" s="2" t="s">
        <v>18</v>
      </c>
      <c r="D4" s="2" t="s">
        <v>442</v>
      </c>
    </row>
    <row r="5" customFormat="false" ht="15" hidden="false" customHeight="false" outlineLevel="0" collapsed="false">
      <c r="A5" s="2" t="s">
        <v>420</v>
      </c>
      <c r="B5" s="2" t="s">
        <v>367</v>
      </c>
      <c r="C5" s="2" t="s">
        <v>18</v>
      </c>
      <c r="D5" s="2" t="s">
        <v>442</v>
      </c>
    </row>
    <row r="6" customFormat="false" ht="15" hidden="false" customHeight="false" outlineLevel="0" collapsed="false">
      <c r="A6" s="2" t="s">
        <v>420</v>
      </c>
      <c r="B6" s="2" t="s">
        <v>397</v>
      </c>
      <c r="C6" s="2" t="s">
        <v>18</v>
      </c>
      <c r="D6" s="2" t="s">
        <v>442</v>
      </c>
    </row>
    <row r="7" customFormat="false" ht="15" hidden="false" customHeight="false" outlineLevel="0" collapsed="false">
      <c r="A7" s="2" t="s">
        <v>420</v>
      </c>
      <c r="B7" s="2" t="s">
        <v>408</v>
      </c>
      <c r="C7" s="2" t="s">
        <v>18</v>
      </c>
      <c r="D7" s="2" t="s">
        <v>442</v>
      </c>
    </row>
    <row r="8" customFormat="false" ht="15" hidden="false" customHeight="false" outlineLevel="0" collapsed="false">
      <c r="A8" s="2" t="s">
        <v>420</v>
      </c>
      <c r="B8" s="2" t="s">
        <v>411</v>
      </c>
      <c r="C8" s="2" t="s">
        <v>18</v>
      </c>
      <c r="D8" s="2" t="s">
        <v>442</v>
      </c>
    </row>
    <row r="9" customFormat="false" ht="15" hidden="false" customHeight="false" outlineLevel="0" collapsed="false">
      <c r="A9" s="2" t="s">
        <v>421</v>
      </c>
      <c r="B9" s="2" t="s">
        <v>53</v>
      </c>
      <c r="C9" s="2" t="s">
        <v>416</v>
      </c>
      <c r="D9" s="2" t="s">
        <v>443</v>
      </c>
    </row>
    <row r="10" customFormat="false" ht="15" hidden="false" customHeight="false" outlineLevel="0" collapsed="false">
      <c r="A10" s="2" t="s">
        <v>421</v>
      </c>
      <c r="B10" s="2" t="s">
        <v>362</v>
      </c>
      <c r="C10" s="2" t="s">
        <v>416</v>
      </c>
      <c r="D10" s="2" t="s">
        <v>444</v>
      </c>
    </row>
    <row r="11" customFormat="false" ht="15" hidden="false" customHeight="false" outlineLevel="0" collapsed="false">
      <c r="A11" s="2" t="s">
        <v>421</v>
      </c>
      <c r="B11" s="2" t="s">
        <v>214</v>
      </c>
      <c r="C11" s="2" t="s">
        <v>417</v>
      </c>
      <c r="D11" s="2" t="s">
        <v>445</v>
      </c>
    </row>
    <row r="12" customFormat="false" ht="15" hidden="false" customHeight="false" outlineLevel="0" collapsed="false">
      <c r="A12" s="2" t="s">
        <v>422</v>
      </c>
      <c r="B12" s="2" t="s">
        <v>139</v>
      </c>
      <c r="C12" s="2" t="s">
        <v>417</v>
      </c>
      <c r="D12" s="2" t="s">
        <v>446</v>
      </c>
    </row>
    <row r="13" customFormat="false" ht="15" hidden="false" customHeight="false" outlineLevel="0" collapsed="false">
      <c r="A13" s="2" t="s">
        <v>422</v>
      </c>
      <c r="B13" s="2" t="s">
        <v>397</v>
      </c>
      <c r="C13" s="2" t="s">
        <v>417</v>
      </c>
      <c r="D13" s="2" t="s">
        <v>446</v>
      </c>
    </row>
    <row r="14" customFormat="false" ht="15" hidden="false" customHeight="false" outlineLevel="0" collapsed="false">
      <c r="A14" s="2" t="s">
        <v>422</v>
      </c>
      <c r="B14" s="2" t="s">
        <v>157</v>
      </c>
      <c r="C14" s="2" t="s">
        <v>418</v>
      </c>
      <c r="D14" s="2" t="s">
        <v>447</v>
      </c>
    </row>
    <row r="15" customFormat="false" ht="15" hidden="false" customHeight="false" outlineLevel="0" collapsed="false">
      <c r="A15" s="2" t="s">
        <v>422</v>
      </c>
      <c r="B15" s="2" t="s">
        <v>402</v>
      </c>
      <c r="C15" s="2" t="s">
        <v>18</v>
      </c>
      <c r="D15" s="2" t="s">
        <v>448</v>
      </c>
    </row>
    <row r="16" customFormat="false" ht="15" hidden="false" customHeight="false" outlineLevel="0" collapsed="false">
      <c r="A16" s="2" t="s">
        <v>422</v>
      </c>
      <c r="B16" s="2" t="s">
        <v>438</v>
      </c>
      <c r="C16" s="2" t="s">
        <v>18</v>
      </c>
      <c r="D16" s="2" t="s">
        <v>449</v>
      </c>
    </row>
    <row r="17" customFormat="false" ht="15" hidden="false" customHeight="false" outlineLevel="0" collapsed="false">
      <c r="A17" s="2" t="s">
        <v>438</v>
      </c>
      <c r="B17" s="2" t="s">
        <v>438</v>
      </c>
      <c r="C17" s="2" t="s">
        <v>418</v>
      </c>
      <c r="D17" s="2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2026-09-11T00:14:40Z</dcterms:created>
  <dc:creator>openpyxl</dc:creator>
  <dc:description/>
  <dc:language>en-US</dc:language>
  <cp:lastModifiedBy/>
  <dcterms:modified xsi:type="dcterms:W3CDTF">2026-09-11T00:14:40Z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